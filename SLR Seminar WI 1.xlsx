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5c345ae5b2506fd/"/>
    </mc:Choice>
  </mc:AlternateContent>
  <xr:revisionPtr revIDLastSave="660" documentId="8_{8F2ADDBD-23E8-4DCE-832E-A1EB10694A30}" xr6:coauthVersionLast="47" xr6:coauthVersionMax="47" xr10:uidLastSave="{28F337E4-E6D6-4761-A6AA-D87F11DF1F51}"/>
  <bookViews>
    <workbookView xWindow="-98" yWindow="-98" windowWidth="21795" windowHeight="14235" xr2:uid="{55015628-6D80-4860-BF51-B29DD30D6AD5}"/>
  </bookViews>
  <sheets>
    <sheet name="SCOPUS" sheetId="1" r:id="rId1"/>
    <sheet name="EBSCOHOST" sheetId="2" r:id="rId2"/>
    <sheet name="IEEE Xplore" sheetId="4" r:id="rId3"/>
    <sheet name="ACM" sheetId="3" r:id="rId4"/>
    <sheet name="AISeL" sheetId="5" r:id="rId5"/>
    <sheet name="Snowballing" sheetId="6" r:id="rId6"/>
  </sheets>
  <definedNames>
    <definedName name="_xlnm._FilterDatabase" localSheetId="0" hidden="1">SCOPUS!$F$1:$F$114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4" l="1"/>
  <c r="D13" i="2"/>
  <c r="A5" i="5"/>
  <c r="A4" i="3"/>
  <c r="A28" i="4"/>
  <c r="A13" i="2"/>
  <c r="A112" i="1"/>
  <c r="A15" i="2"/>
  <c r="A17" i="2"/>
  <c r="A18" i="2"/>
  <c r="A33" i="4"/>
  <c r="A24" i="2"/>
  <c r="A16" i="2"/>
  <c r="A19" i="2"/>
  <c r="A20" i="2"/>
  <c r="A21" i="2"/>
  <c r="A22" i="2"/>
  <c r="A23" i="2"/>
  <c r="A25" i="2"/>
  <c r="A26" i="2"/>
  <c r="A31" i="4"/>
  <c r="A32" i="4"/>
  <c r="A34" i="4"/>
  <c r="A35" i="4"/>
  <c r="A36" i="4"/>
  <c r="A37" i="4"/>
  <c r="A38" i="4"/>
  <c r="A39" i="4"/>
  <c r="A40" i="4"/>
  <c r="A41" i="4"/>
  <c r="A42" i="4"/>
  <c r="A43" i="4"/>
  <c r="A44" i="4"/>
  <c r="A45" i="4"/>
  <c r="A46" i="4"/>
  <c r="A47" i="4"/>
  <c r="A48" i="4"/>
  <c r="A49" i="4"/>
  <c r="A50" i="4"/>
  <c r="A51" i="4"/>
  <c r="A52" i="4"/>
  <c r="A53" i="4"/>
  <c r="A54" i="4"/>
  <c r="A55" i="4"/>
  <c r="A30" i="4"/>
  <c r="A7" i="3"/>
  <c r="A6" i="3"/>
  <c r="F112" i="1"/>
  <c r="E112" i="1"/>
  <c r="A32" i="2" l="1"/>
  <c r="A31" i="2"/>
  <c r="A28" i="2"/>
  <c r="A30" i="2"/>
  <c r="A27" i="2"/>
  <c r="A29" i="2"/>
  <c r="A58" i="4"/>
</calcChain>
</file>

<file path=xl/sharedStrings.xml><?xml version="1.0" encoding="utf-8"?>
<sst xmlns="http://schemas.openxmlformats.org/spreadsheetml/2006/main" count="428" uniqueCount="290">
  <si>
    <t>Title,</t>
  </si>
  <si>
    <t>Year</t>
  </si>
  <si>
    <t>Abstract</t>
  </si>
  <si>
    <t>In Cloud Computing, the cloud serves as a central data hub for the Industrial Internet of Things' (IIoT) data and is deployed in diverse application fields, e.g., Smart Grid or Smart Manufacturing. Therefore, the aggregated and contextualized data is bundled in a central data hub, bringing tremendous cybersecurity advantages. Given the threat landscape in IIoT systems, especially SMEs (small and medium-sized enterprises) need to be prepared regarding their cybersecurity, react quickly, and strengthen their overall cybersecurity. For instance, with the application of machine learning algorithms, security-related data can be analyzed predictively in order to be able to ward off a potential attack at an early stage. Since modern reference architectures for IIoT systems, such as RAMI 4.0 or IIRA, consider cybersecurity approaches on a high level and SMEs lack financial funds and knowledge, this paper conceptualizes a security analytics service used as a security add-on to these reference architectures. Thus, this paper conceptualizes a flexible security analytics service that implements security capabilities with flexible analytical techniques that fit specific SMEs' needs. The security analytics service is also evaluated with a real-world use case. © 2021 ACM.</t>
  </si>
  <si>
    <t>Cervical cancer is a significant health issue affecting women globally, with a high number of new cases and deaths reported each year. The disease is linked to HPV infection, but early detection through Pap smear tests can significantly increase performance. Deep learning techniques, particularly convolutional neural networks, transfer learning, generative adversarial networks, and attention mechanisms, are employed to identify cervical cancer. These innovative methods can increase the effectiveness and efficiency of cervical cancer screening and diagnosis. Although these technologies provide advantages for diagnosing cervical cancer, issues related to the availability and integrity of data, interpretability of models, and integration into clinical workflows exist. A computer-aided diagnostic system that uses vision transformers, a majority fusion mechanism, and explainable artificial intelligence is presented to address these challenges. This framework aims to increase cervical cancer detection accuracy and efficiency. Two cutting-edge datasets, DTU/Herlev and SIPaKMeD, are used to evaluate the system, yielding overall accuracy results of 99.22% and 99.8%, respectively. A comparison of the suggested framework with state-of-the-art methods revealed equivalent or even better results. © 2025 Elsevier Ltd</t>
  </si>
  <si>
    <t>The earth is an unstable planet. Change is constant and frequently chaotic. It is very important to plan carefully to manage changes that can be anticipated now, and to cover potential issues that might not yet have been discovered. The dawn of artificial intelligence (AI) presents a host of new concerns and opportunities. The criteria for evaluation are diverse and complex. Cybersecurity is absolutely essential, yet advances in technology have created an internet of things (IoT) where threat vectors might gain access to critical command and control elements through trillions of connected IoT devices. Whereas elegant zero trust cybersecurity models can be constructed and deployed, the vast majority of successful attacks involve a human element. Disruptive change makes decisions on any future course of action very difficult to evaluate. Distributed energy resources (DERs) can be designed to benefit individuals and improve the resilience of the power grid. We propose to direct the deployment of limited resources in an efficient fashion by evaluating the multi-discipline criteria using a hierarchical decision model (HDM), evaluated by human subject matter experts (SMEs) and generative artificial intelligence (GenAI).  © 2024 PICMET.</t>
  </si>
  <si>
    <t>Managing big data is a trending concept for industrial development. Machine learning helps to increase the sales rate of the firm improving the quality of the production process in the SMEs. Training and skill development managed by technological tools and big data analytics ensure the progress of the firm providing information security. Big data help to design the operations of the firm analyzing the market condition and customer demand. Furthermore, the data safety issues create barriers to the technological advancement of the firm, and the managers need to update and monitor the software development to increase consumer confidentiality in SMEs.  © 2023 IEEE.</t>
  </si>
  <si>
    <t>This paper presents a novel categorization and maturity model for Small and Micro Enterprises (SMEs), designed to address their unique cybersecurity challenges. Based on a detailed analysis of 40 cybersecurity audits, the proposed model categorizes SMEs into five levels of IS/IT usage: Basic, Minimal, Competitive, Integrated, and Strategic. Each level identifies specific risks, threats, knowledge requirements, and cybersecurity controls, providing a clear roadmap for SMEs to enhance their cybersecurity maturity. The model not only simplifies cybersecurity evaluation for non-technical SME owners but also equips auditors with a standardized framework for assessing preparedness This study makes significant theoretical contributions by extending maturity model literature to the SME context, emphasizing the sociotechnical interplay of technology adoption and organizational readiness. Practically, it provides actionable guidance for resource allocation, promotes proactive cybersecurity cultures, and fosters ecosystem collaboration through partnerships with universities and Managed Service Providers (MSPs). These collaborations offer SMEs cost-effective access to expertise, training, and advanced tools, enabling them to mitigate vulnerabilities and ensure compliance with regulatory standards. The findings emphasize the growing importance of addressing SME-specific cybersecurity needs, particularly in critical sectors such as healthcare and childcare. Future research will focus on incorporating emerging technologies, such as AI and IoT, and expanding the model’s applicability to diverse geographic and industrial contexts. © (2025), (Information Institute). All rights reserved.</t>
  </si>
  <si>
    <t>Research on cybersecurity security skills is highly relevant in today's digital era, where cybersecurity threats are growing in complexity and frequency. This study aims to evaluate and contrast multiple EU-based cybersecurity skills frameworks to highlight areas of convergence, divergence, and potential gaps, offering valuable insights for improving the cohesion and applicability of these frameworks. It was applied a qualitative content analysis approach combined with a comparative analysis technique. This approach is used to identify the main cybersecurity skills emphasized across EU-based cybersecurity frameworks, exploring how they differ in terms of structure, scope, and focus areas, and discovering the main strengths and limitations of these frameworks. The findings support the creation of more inclusive and adaptive frameworks that address underrepresented areas, such as the needs of small and medium-sized enterprises (SMEs) and emerging domains like AI security. Overall, this study serves as a foundational resource for enhancing cybersecurity resilience, promoting skills standardization, and advancing the EU's leadership in global cybersecurity preparedness. © 2025</t>
  </si>
  <si>
    <t>The increasing complexity and volume of cybersecurity logs demand advanced analytical techniques capable of accurate threat detection and explainability. This paper investigates the application of Large Language Models (LLMs), specifically qwen2.5:7b, gemma3:4b, llama3.2:3b, qwen3:8b and qwen2.5:32b to cybersecurity log classification, demonstrating their superior performance compared to traditional machine learning models such as XGBoost, Random Forest, and LightGBM. We present a comprehensive evaluation pipeline that integrates domain-specific prompt engineering, robust parsing of free-text LLM outputs, and uncertainty quantification to enable scalable, automated benchmarking. Our experiments on a vulnerability detection task show that the LLM achieves an F1-score of 0.928 ([0.913, 0.942] 95% CI), significantly outperforming XGBoost (0.555 [0.520, 0.590]) and LightGBM (0.432 [0.380, 0.484]). In addition to superior predictive performance, the LLM generates structured, domain-relevant explanations aligned with classical interpretability methods. These findings highlight the potential of LLMs as interpretable, adaptive tools for operational cybersecurity, making advanced threat detection feasible for SMEs and paving the way for their deployment in dynamic threat environments. © 2025 by the authors.</t>
  </si>
  <si>
    <t>In an attempt to counter growing cybersecurity challenges, there is an increasing need for inculcating IoT devices in Small and Medium-sized Enterprises (SME) to improve efficiency by streamlining operations. While traditional mechanisms have been fairly effective, they are not practically feasible to be applied everywhere because they are expensive, rely on a centralized infrastructure to work, and can’t update automatically to deal with developing technology that can prove to be a threat. This means that existing IoT networks are vulnerable to advanced cyberattacks which can prove to be detrimental to the data and operations of an SME. This paper is an attempt to address these challenges, which focuses on proposing an AI-powered cybersecurity framework tailor-made for SMEs using IoT devices. The framework is a mixture of edge computing, Zero Trust Architecture (ZTA) and lightweight machine learning models to bring about a real-time threat detection and mitigation mechanism. This involves local data processing on IoT devices, thereby reducing latency. A continuous authentication mechanism is also incorporated which makes the solution cost-effective and scalable while simultaneously improving security. While this approach focuses on increasing the security of existing IoT networks, it ensures that there is no requirement of extensive resources for providing this solution, with the key goals being sustainability and ability to handle future issues. © The Author(s), under exclusive license to Springer Nature Singapore Pte Ltd. 2026.</t>
  </si>
  <si>
    <t>Manufacturing Execution Systems (MES) have become a crucial intermediary between Enterprise Resource Planning (ERP) systems and shop-floor automation. Playing a vital role in Industry 4.0. As industrial processes become increasingly interconnected, MES are evolving beyond traditional monitoring and scheduling to incorporate AI-driven decision-making, real-time analytics, and adaptive manufacturing capabilities. Despite its growing importance, MES research remains fragmented, requiring a systematic review to identify key trends, research gaps, and future research directions. This study conducts a Systematic Literature Review (SLR) using bibliometric analysis with VOSviewer to map MES research. It identifies three major research clusters: Core MES Technologies, MES in Industry 4.0, and MES vs. Alternative Systems. The findings highlight key challenges, including high implementation costs, integration complexities, cybersecurity risks, and interoperability barriers, particularly in MES-ERP-SCADA integration. The study underscores the necessity of AI-driven MES solutions, modular architectures, and blockchain-based security frameworks to optimize digital transformation in manufacturing. By providing a structured overview of MES advancements and challenges, this research contributes both theoretically and practically. It offers insights into MES standardization, sustainability-driven MES adoption, and regulatory compliance, alongside recommendations for future research in predictive AI-based MES, cloud-security frameworks, and scalable MES solutions for small and medium-sized enterprises (SMEs). This study serves as a foundation for academics, industry professionals, and policymakers to drive the sustainable evolution of MES within smart manufacturing ecosystems. © The Author(s), under exclusive license to Springer Nature Switzerland AG 2025.</t>
  </si>
  <si>
    <t>This paper presents an AI-based generative model to address the cybersecurity threats in software development for Small and Medium Enterprises (SMEs). The model aims to address the unique challenges SMEs face in implementing effective cybersecurity practices by leveraging generative AI to enhance threat detection, prevention, and response. Initially, we conducted a multivocal literature review (MLR) and an empirical survey to identify and validate cybersecurity threats and the generative AI practices used in secure software development for SMEs. An expert panel review was then assigned for the process of artificial neural network (ANN) and interpretive structural model (ISM). The ANN model can predict potential cybersecurity threats by learning from historical data and software development patterns. ISM is used to (1) structure and visualize (2) relations between identified threats and mitigation approaches and (3) offer a combined, multi-layered risk management methodology. A case study was conducted to evaluate the effectiveness of the proposed model. The evaluation has shown that the model significantly enhances SME online security and enables rapid adoption of sophisticated AI-based practices for detecting and responding to primary and advanced cyber threats. Phishing and ransomware received high assessments (Advanced), whereas some advanced techniques, e.g., AI-guided evasion and zero-day attacks, were at early stages of development (Understanding and Development). The general results indicated that generative AI can help organizations enhance SME cybersecurity, and some efforts are underway to develop use cases for advanced threats further. The AI-based generative model is a viable and scalable approach to the cybersecurity of SME software development. Such AI-based practices will enable SMEs to effectively protect themselves against various cyber threats systematically. Future studies should focus on developing contemporary threat strategies and on the impediments to global implementation, particularly in less resource-rich settings. © The Author(s) 2026.</t>
  </si>
  <si>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 © 2024 by the authors.</t>
  </si>
  <si>
    <t>The transition from Industry 4.0 to Industry 5.0 marks a paradigm shift from technology-driven automation toward secure, resilient, and human-centric manufacturing. While Industry 4.0 enhanced efficiency through cyber-physical systems (CPS), the Internet of Things (IoT), and artificial intelligence (AI), it often overlooks human involvement and introduces heightened cybersecurity risks. Industry 5.0 seeks to overcome these limitations by emphasizing sustainability, resilience, and human-centricity through collaboration between humans and intelligent systems. As a step toward maturing the Industry 5.0 paradigm, we propose the Self-X-based secure human-cyber-physical system (SSHCPS) as a new conceptual framework for autonomous manufacturing. This study introduces an original architecture that integrates Self-X capabilities, human-in-the-loop (HITL) interaction, and cybersecurity (CS). The architecture is structured into four interlinked modules: HITL, Digital Twin, Physical Twin, and CS. As the foundation of this architecture, we categorized the Self-X terms from the literature, merged them into 23 Self-X principles, redefined them, and mapped them into the core values of Industry 5.0 and the SSHCPS modules. Furthermore, we demonstrate the applicability of SSHCPS through potential applications such as lightless and de-urbanized factories, humanoid-enabled SMEs, and the aerospace industry, while also identifying key technical challenges and future direction. This study establishes SSHCPS as a forward-looking foundation for secure, efficient, and human-centered autonomous manufacturing systems in the Industry 5.0 era. © 2025 The Author(s).</t>
  </si>
  <si>
    <t>The article's objective is to develop a hybrid adaptive model for assessing software code quality based on code smell characteristics by combining fuzzy logic and machine learning methods to enhance the objectivity and efficiency of refactoring. The methodology underlying this research is aimed at developing a hybrid adaptive model for software code quality assessment. It combines fuzzy logic and artificial intelligence methods, specifically an adaptive neuro-fuzzy inference system (ANFIS). The multi-layered ANFIS implements the Takagi-Sugeno fuzzy inference with the ability to learn using gradient methods. The methodology is based on a hybrid approach that integrates expert knowledge with the automated training of the model on real data. Results. The research resulted in the development of a hybrid adaptive model for software code quality assessment based on fuzzy logic and the ANFIS. This model allows for automated, objective, and flexible code quality assessment in refactoring tasks. The model uses eight key code smell metrics: WMC, DIT, RFC, LCOM, NOA, NOC, CBO, and FANOUT. Their normalization and processing are performed using fuzzy logic based on the Takagi-Sugeno algorithm. This ensures that the uncertainty and subjectivity of expert evaluations are taken into account. The ANFIS architecture allows the model to learn from real data, with subsequent automated adjustment of the membership function parameters and rule weights. This enables the model to adapt to various technology stacks and projects. The use of trapezoidal membership functions increases the accuracy of modeling critical code smell zones, while the hybrid learning algorithm based on gradient descent ensures high precision in determining code quality, ultimately contributing to improved software efficiency, maintainability, scalability, and security. The scientific novelty of the research lies in the development of a hybrid adaptive model for software code quality assessment. Unlike existing models, this one is based on fuzzy logic and an ANFIS, which combines expert knowledge with automated training on real data to enhance the objectivity and efficiency of the refactoring process. The proposed ANFIS architecture with trapezoidal membership functions is used to process eight key code smell metrics (WMC, DIT, RFC, LCOM, NOA, NOC, CBO, FANOUT) within the context of Takagi-Sugeno fuzzy inference. This provides a flexible, interpretable, and adaptive assessment of code quality with the ability to automatically tune model parameters based on gradient learning, which significantly increases the accuracy of code quality determination and the model's suitability for various technology stacks and projects. The practical significance of the research lies in the direct implementability and integration of the developed hybrid adaptive model for software code quality assessment into existing static analysis tools and DevOps processes, specifically as plugins for Continuous Integration/Continuous Delivery (CI/CD) systems. This will enable automated, objective, and adaptive monitoring of code quality in real time. In addition, the model has significant potential for extension to various programming languages and technology stacks by analyzing large datasets from open-source repositories, which will enhance its universality and accuracy. A promising direction for future work is to improve the ANFIS architecture by incorporating deep learning methods, which would allow for the automatic detection of new code smells and their interdependencies. The development of interpretable mechanisms to explain the model's decisions will increase developer trust in the system and promote its widespread adoption in both industrial software development and educational processes in software engineering and cybersecurity. © Liubarskyi S., Yanko A., Zdorenko Yu., Khudayarov B., 2026.</t>
  </si>
  <si>
    <t>In the UAE SMEs constitute 94% of all businesses and are of strategic importance to the national economy. But they are also particularly susceptible to the sophisticated nature of cyber evils, given their meager resources, both financial and technical. Most SMEs are unable to protect themselves from advanced threats such as zero-day exploits, due to insufficient infrastructure, talent and budget for security. Existing solutions are generally piecemeal, expensive, and require a level of expertise not available to the typical small to medium scale enterprise (SME). In this paper, we present a holistic Zero Trust Network Architecture (ZTNA) for regional SMEs. Built on the 'never trust, always verify' principle, where every access request is continuously authenticated using context (user, device, location, behaviors, etc.)</t>
  </si>
  <si>
    <t>This research aims to enhance understanding of how generative artificial intelligence based on large language models (GAL) promotes sustainable green practices (SGP) within the framework of the green metaverse. This research targets at exploring the mediation mechanism of green cybersecurity (GC) in the connection between GAL and SGP. Importantly, it also explores the moderating function of metaverse leadership (ML) in the interactions among GAL, GC, and SGP by conducting small and medium enterprise survey. The data analysis was conducted using partial least squares structural equation modelling (PLS-SEM) technique with the assistance of SmartPLS 4.1.0.2. The outcomes confirm the significantly positive relationship between GAL and SGP. Alternatively, GC acts as a mediator in this connection. Remarkably, ML is confirmed to moderate the interconnections between GAL, GC, and SGP. This study takes a unique approach by conducting an exploratory effort to experimentally address a recognized need to improve “lessons learned” for responding to the urgent claims of sustainable development. The results can be useful for policymakers and practitioners looking to strategically implement GAL to reach SGP. These findings deepen the comprehension of how GC can serve as a thorough steppingstone for governments to get ready for SGP through the adoption of GAL. Businesses can lessen the impact of these threats by taking application use into account when designing security policies. © The Author(s) 2025.</t>
  </si>
  <si>
    <t>In an increasingly interconnected and sustainability-driven digital landscape, effective risk management and robust information security practices are essential not only for protecting organizational assets but also for ensuring long-term operational resilience and regulatory compliance, especially for small and medium-sized enterprises (SMEs), which aim to grow but have limited resources. This paper presents the development of a practical framework and a supporting application—GestionAVR—for implementing an Information Security Management System (ISMS) that integrates structured risk management processes. The research presents some theoretical insights and practitioners’ input, with a focus on the needs of SMEs. The framework includes a predefined set of categorized risks across four key areas: organizational, personnel, physical, and technological. Designed for usability and adaptability, the GestionAVR application facilitates risk identification, prioritization, monitoring, and continuous improvement. Validated through a case study in the engineering sector, the solution proved to be effective in enhancing decision-making, reducing time spent on planning, and minimizing overlooked vulnerabilities. Future developments include integration of sustainability indicators aligning with recent updates to ISO 27001 standards, AI-based data analysis and automated reporting. This research offers a customizable and cost-effective tool that supports information security and sustainable organizational development. © 2025 by the authors.</t>
  </si>
  <si>
    <t>The proliferation of Generative Artificial Intelligence (GenAI) has driven significant innovation but also introduced new security risks, particularly in social engineering attacks such as phishing. Despite the potential for misuse of GenAI in such attacks, research on its use for defense against these threats is limited. To address this issue, this study addresses the unique cybersecurity needs of small and midsize enterprises (SMEs) by utilizing high-quality email datasets, categorized into human and AI-generated phishing and legitimate emails, to evaluate the effectiveness of different GenAI models. The results demonstrated that the open-source Llama-3-8b-instruct model outperformed other alternatives, achieving the highest accuracy and F1-score, while offering a cost-effective and flexible solution for SMEs. This approach lies in its focus on base models with default parameters, emphasizing ease of implementation without the need for additional training or fine-tuning. Compared to existing methods, this approach simplifies adoption while maintaining robust detection capabilities. The proposed prompt template enables LLMs to provide explanations and suggestions, assisting users in making informed decisions. Practical recommendations for SMEs include deployment strategies and cost-effective management of human factors in cybersecurity. However, the study acknowledges limitations in its reliance on base models and emphasizes the need for further research on fine-tuning and parameter optimization. These findings suggest the feasibility of using LLMs for real-world cybersecurity applications against phishing attacks in the context of SMEs, although certain risks and challenges remain. © 2013 IEEE.</t>
  </si>
  <si>
    <t>Small and medium-sized enterprises (SMEs) face escalating cyber threats and often lack the technical and financial capacity to deploy resource-intensive security solutions. This study evaluates the effectiveness of Artificial Intelligence (AI) and Machine Learning (ML) models for lightweight intrusion detection systems (IDS) tailored to SME environments. Six supervised algorithms including Logistic Regression, Naïve Bayes, Random Forest, Multi-Layer Perceptron (MLP), LightGBM, and XGBoost, were trained and tested on the TON_IoT dataset. Performance was assessed using standard metrics (accuracy, precision, recall, F1-score, ROC-AUC) alongside computational efficiency indicators (training time, inference latency, and model size). Results show that tree-based ensemble models, particularly XGBoost (accuracy = 99.07%, ROC-AUC = 0.9996) and LightGBM (accuracy = 99.00%, ROC-AUC = 0.9993), achieved superior detection performance while maintaining minimal computational cost. In contrast, Logistic Regression and Naïve Bayes exhibited faster training but lower detection accuracy (&lt;76%). These findings confirm that AI-driven ensemble models can deliver both accuracy and efficiency, making them ideal for deployment in resource-constrained SMEs. Limitations of this study include reliance on a single dataset and supervised frameworks. Future work will extend to cross-dataset validation and real-world SME applications to enhance robustness and generalizability. © The Author(s) 2025</t>
  </si>
  <si>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 The Author(s) 2024.</t>
  </si>
  <si>
    <t>Small and Medium-Sized Enterprises (SMEs) face increasing exposure to cyber risks through third-party vendors, but often lack access to advanced evaluation tools. Existing Third-Party Risk Management (TPRM) systems are typically resource-intensive, complex, and inaccessible to most SMEs. In this research, we introduce SME-SHIELD, a scalable and explainable AI architecture designed to automate early-stage vendor risk assessments. Unlike conventional NLP-dependent models, SME-SHIELD combines graph-based vendor modeling, open-source threat signal aggregation, and an ensemble risk scoring engine. The system leverages weak supervision and probabilistic reasoning to generate actionable, interpretable risk outputs. The architecture was tested on real-world data that contains 50 SMEs across various sectors and regions. The results of the analysis show that the proposed architecture achieves better accuracy, a high F1 score, and robust alignment with the expert-labeled ground truth. SME-SHIELD is particularly useful in data-scarce contexts, offering a lightweight and cost-effective solution for SME-scale cyber governance.  © 2025 IEEE.</t>
  </si>
  <si>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 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 © 2024 Wiley-VCH GmbH.</t>
  </si>
  <si>
    <t>This study compares cybersecurity threat prioritizations produced by aviation subject-matter experts and ten independently developed large language models (LLMs). Using Borda ranking methods and Kendall’s W to evaluate agreement, we analyze aligned themes and divergences in aviation-specific threat emphasis. SMEs prioritized risks at integration boundaries, safety-critical navigation interference, and supply-chain and cloud-to-aircraft trust paths. LLMs successfully identified broad risk categories but emphasized generic IT attack surfaces more heavily than domain-specific vectors. Findings suggest LLMs provide value for horizon scanning and taxonomy scaffolding but require aviation context to support operational prioritization. Limitations include a small SME sample (n=4) and rapidly evolving AI model capabilities. Future work should expand stakeholder representation across operators, ANSPs, airport authorities, and regulators. © 2026, University Aviation Association. All rights reserved.</t>
  </si>
  <si>
    <t>In this study, the methodology of cyber-resilience in small and medium-sized organizations (SMEs) is investigated, and a comprehensive solution utilizing prescriptive malware analysis, detection and response using open-source solutions is proposed for detecting new emerging threats. By leveraging open-source solutions and software, a system specifically designed for SMEs with up to 250 employees is developed, focusing on the detection of new threats. Through extensive testing and validation, as well as efficient algorithms and techniques for anomaly detection, safety, and security, the effectiveness of the approach in enhancing SMEs’ cyber-defense capabilities and bolstering their overall cyber-resilience is demonstrated. The findings highlight the practicality and scalability of utilizing open-source resources to address the unique cybersecurity challenges faced by SMEs. The proposed system combines advanced malware analysis techniques with real-time threat intelligence feeds to identify and analyze malicious activities within SME networks. By employing machine-learning algorithms and behavior-based analysis, the system can effectively detect and classify sophisticated malware strains, including those previously unseen. To evaluate the system’s effectiveness, extensive testing and validation were conducted using real-world datasets and scenarios. The results demonstrate significant improvements in malware detection rates, with the system successfully identifying emerging threats that traditional security measures often miss. The proposed system represents a practical and scalable solution using containerized applications that can be readily deployed by SMEs seeking to enhance their cyber-defense capabilities. © 2023 by the authors.</t>
  </si>
  <si>
    <t>The number of cybersecurity attacks and sensitive data breaches in businesses and organizations has increased significantly in recent years, and companies that are increasingly using or providing 5G technology are no exception. The impact of these incidents not only results the sensitive data breaches, financial losses and unexpected operational patterns for the targeted companies or organizations but can also extend to their peers in the same industry. Therefore, prevention and early detection of cyberattacks is also a key issue for IT infrastructures extended with emerging 5G technology. At the same time, detecting different types of attacks has become extremely challenging as attacks have become more sophisticated, distributed and stealthy with the help of artificial intelligence and other modern technologies. Detecting and managing such attacks requires sophisticated intrusion detection systems running on high-performance hardware and managed by expert security personnel. However, these resources are expensive to deploy, especially for small and medium-sized enterprises (SMEs). Therefore, in many cases, open source and free solutions are needed that allow SMEs to operate a security information event management (SIEM) system. Thanks to the low cost of implementation, it is affordable for SMEs and, after a short configuration and learning phase, it is self-sufficient and stable. Our goal is to provide detection solutions for attacks and vulnerabilities specific to 5G networks that provide effective detection and response for open source SIEM systems. Alerts on detected anomalies notify security personnel, who can efficiently and quickly implement incident response through graphical and visual dashboards. © 2025, Budapest Tech Polytechnical Institution. All rights reserved.</t>
  </si>
  <si>
    <t>Artificial Intelligence (AI) is poised to transform all aspects of business, and with it, new product development (NPD). Pioneering companies that are early adopters of AI for NPD have reaped substantial rewards, seeing notable reductions in development timelines and a heightened pace of innovation. These are larger firms like Siemens, GE, Nestle, and Pfizer</t>
  </si>
  <si>
    <t>Purpose – Using a data-driven approach, this study explores the drivers of cybersecurity (CS) adoption in developing countries. It highlights the importance of public policy, regulation, industry associations and risk awareness and provides key insights for organizations and policymakers to improve CS practices. Design/Methodology/Approach – A mixed-methods sequential approach was used to analyze the factors driving the adoption of the CS role. The classification algorithms addressed unbalanced data, while SHapley Additive exPlanations (SHAP) identified key variables. Econometric models estimated the likelihood of CS adoption, providing a comprehensive analysis of internal and external motivators and balancing predictive power with interpretability. Findings – The findings highlight the need for public policy to strengthen CS in small and medium enterprises (SMEs), as well as a stronger regulatory ecosystem. The study found minimal influence from the business sector and a gap in the role of academia and industry associations. Furthermore, the IT department is the key to identifying risks, while technologies such as cloud services and Radio-Frequency Identification (RFID) influence implementation. Research limitations/implications – Although the data were collected in 2018, the findings provide valuable insights into CS adoption. Despite evolving threats, regulation and IT involvement remain critical. Research limitations include potential bias, which may have been exacerbated by increased reliance on digital systems during the COVID-19 pandemic. Future studies should further explore this relationship to better understand how pandemic-driven technological shifts may have influenced bias in CS practices and tools. Practical implications – This study helps organizations assess their readiness to adopt CS. It highlights the importance of regulatory frameworks, industry support and the IT department in driving adoption, particularly in SMEs. The findings provide valuable guidance for strengthening CS strategies and aligning them with best practices in regulation and organizational structure. Social implications – The study highlights the need for sector-specific initiatives to promote CS adoption and establish security standards across industries. It calls for increased public awareness of the impact of CS breaches on critical infrastructure and for public policies to support CS adoption in SMEs. Originality/Value – This study explores the drivers of CS adoption using machine learning (ML) and econometrics for unbalanced data, with a focus on developing regions. It highlights regulatory, technological and structural challenges and advances knowledge of CS motivators in emerging markets. © 2026 Emerald Publishing Limited</t>
  </si>
  <si>
    <t>Digitalization of Water Distribution Networks (WDNs) through Digital Twins (DTs) creates serious cybersecurity concerns, especially for small and medium-sized enterprises (SMEs) that operate with limited budgets and technical resources. Conventional security solutions are usually expensive and demand high computational capacity, which further widens the security gap in the water sector. This paper presents MOSAIC (Multi-Objective Security Adaptation for Infrastructure Cybersecurity), an adaptive framework that continuously balances security performance, computational cost, and system latency. Although multi-layer security architectures are well discussed in the literature, they are generally designed around static processing pipelines. Breaking from this paradigm, MOSAIC formulates the orchestration of security layers as a real-time Pareto optimization problem. Consequently, the core scientific contribution is not the individual detection algorithms, but the adaptive decision engine that mathematically balances their execution based on dynamic resource constraints in water distribution digital twins. The core innovation lies in framing security deployment as a constrained Pareto optimization problem, which dynamically routes data through one of three pipelines (Light, Medium, or Deep Validation) based on real-time threat assessment and data criticality. We validated MOSAIC over a 90-day real-world deployment serving 6,200 customers across six rural villages. Results show that MOSAIC achieves 91.6% weighted security effectiveness (attack recall: 94.3%) while reducing average latency by 60% (from 5.8s to 2.26s) and computational cost by 68% compared to static deep-only processing, with less than 8.2 percentage points security trade-off. An economic analysis confirms a 70% reduction in Total Cost of Ownership (TCO) compared to the best commercial alternatives, making MOSAIC a practical and economically sustainable solution for resource-constrained critical infrastructure.  © 2026 The Authors.</t>
  </si>
  <si>
    <t>In this paper, we investigate cyber breaches and their effects on small and medium enterprises (SMEs), considering the role that cybersecurity plays in SMEs, and the importance that SMEs have in the economy. Using the Cyber Security Breaches Survey data, the first contribution extends previous works confirming that SMEs receive a wide variety of breaches. Secondly, we have characterized the degree of severity of breaches in SMEs, based on disruption time and their cost. Our last contribution consists of determining the effect and severity of breaches in SMEs in terms of economic, financial and management impacts. © 2021 The Author(s). Published by Informa UK Limited, trading as Taylor &amp; Francis Group.</t>
  </si>
  <si>
    <t>Generative Artificial Intelligence (GenAI) is rapidly transforming industries by enhancing operational efficiency, automating complex tasks, and enabling innovative business practices. While large multinational corporations have begun to integrate GenAI into areas such as marketing, customer service, and supply chain management, far less is known about how small and medium sized enterprises (SMEs) are adopting or planning to adopt these tools. SMEs face distinct challenges including resource constraints, skills gaps, and cybersecurity risks that may limit effective implementation. This study presents an exploratory investigation into GenAIadoption among firms, using data collected from news media and social platforms over a six month period. The research focuses on three objectives: (i) capturing current usage and perceptions of GenAI, (ii) identifying functional areas where GenAIcan deliver the most efficiency gains, and (iii) understanding the barriers hindering broader adoption. Findings from this analysis aim to inform the design of future large scale surveys, experiments, and interviews, providing both academic insights and practical guidance for firms seeking to leverage GenAIfor operational efficiency. © 2025 IEEE.</t>
  </si>
  <si>
    <t>This systematic review evaluates the adoption and effectiveness of the NIST Cybersecurity Framework (CSF) in mitigating cyber threats across diverse sectors. Following PRISMA guidelines, we analyzed studies published between 2015 and 2024 from major academic databases, focusing on the framework’s five core functions: Identify, Protect, Detect, Respond, and Recover. Results indicate widespread recognition but uneven adoption—large organizations show strong performance in the Protect and Detect functions, while small and medium-sized enterprises (SMEs) face implementation barriers due to limited resources. The framework’s flexibility and risk-based approach are notable strengths, though its voluntary nature and lack of localized standards pose challenges. Compared to ISO/IEC 27001 and COBIT, NIST CSF is more adaptable but less prescriptive. We identify key gaps in empirical validation and sector-specific applications, and recommend future research integrating AI-driven threat detection and regional adaptations. © (2025), (Science and Information Organization). All rights reserved.</t>
  </si>
  <si>
    <t>Cyberspace is essential for e-business, including small and medium enterprises (SMEs). In reality, SMEs have limited resources for cybersecurity. Furthermore, dealing with the fourth industrial revolution and the post-COVID-19 era, the challenges are not limited to cybersecurity only but also cyber resilience. Over 200 cyber resilience assessment frameworks have been proposed. Thus, SMEs need help to operate cyber resilience as a simple. This paper reviews the technical architectures behind the cyber resilience (CR) to detect processes and monitor assets continuously from incidents in the modeling level. The technical architectures of the CR model are built on five layers. The five layers are services, data, generative models, data analysis, and resilience scale. Machine learning and data mining based a probabilistic model approach works to solve the problem of the CR model. The approach is taken to ensure that the probabilistic model is adaptive in the face of uncertainty. The CR model helps to explain the technical architecture of each layer to realize the probabilistic model in practice.  © 2022 IEEE.</t>
  </si>
  <si>
    <t>The increasing amount and complexity of cyber security attacks in recent years have made text analysis and data-mining based techniques an important factor in detecting security threats. However, despite the popularity of text and other data mining techniques, the cyber security community has remained somehow reluctant in adopting an open approach to security-related data. In this paper, we analyze a dataset that has been collected from five Small and Medium companies in South Korea, this dataset represents cyber security incidents and response actions. We investigate how the data representing different incidents collected from multiple companies can help improve the classification accuracy and help the classifiers in distinguishing between different types of incidents. A model has been developed using text mining methods, such as n-gram, bag-of-words and machine learning algorithms for the classification of incidents and their response actions. Experimental results have demonstrated good performance of the classifiers for the prediction of different types of response and malware. © 2019 by SCITEPRESS – Science and Technology Publications, Lda. All rights reserved.</t>
  </si>
  <si>
    <t>“Industry 4.0,” initially a German initiative focused on technological advancements within the industrial sector, has garnered global recognition. Other nations have also initiated similar strategic endeavours, leading to extensive research dedicated to the development and implementation of Industry 4.0 technologies. More recently, the European Commission introduced “Industry 5.0,” a decade following the inception of Industry 4.0. While Industry 4.0 is commonly perceived as technology-driven, Industry 5.0 is heralded as valuedriven. The coexistence of these two industrial revolutions has spurred significant debates and necessitates thorough explanations. The business sector plays a pivotal role in fostering economic growth. However, the integration of new technology and the growing complexity of products and production processes have direct repercussions on industrial companies and their workforce. Critics of the Industry 4.0 paradigm underscore its technocratic focus on digitalization and novel technologies. Consequently, when Industry 5.0 emerged, discussions regarding its function and rationale gained rapid prominence. Industry 5.0 complements Industry 4.0, emphasizing the pivotal role of workers in the industrial process. Industry 4.0 has facilitated remarkable technological advancements, including additive manufacturing, artificial intelligence, augmented reality, cyber-physical systems, blockchain, and cybersecurity. These technologies address issues like demand fluctuations and market instability by minimizing human involvement in decision-making through the integration of computers, materials, and AI. Nonetheless, Industry 4.0 must surmount challenges in data security, supply chain management, human resource administration, and technological integration. In contrast, Industry 5.0 tackles these challenges with innovations such as predictive maintenance, hyper-customization, cyber-physical cognitive systems, and collaborative robots, placing a strong emphasis on human-centricity. The introduction of Industry 5.0 heralds an anticipated paradigm shift, prioritizing holistic, sustainable, and human-centered value generation. However, the escalating complexity of digitalization poses considerable difficulties, particularly for small and medium-sized businesses (SMEs) with limited resources for effective digitalization initiatives. This study delves into the literature surrounding improvements for both Industry 4.0 and Industry 5.0, addressing issues such as data privacy and technical integration problems. In Industry 5.0, resilience emerges as a crucial factor in enabling hyper-individualization and customized product offerings. Additionally, this study provides a concise exploration of the primary drivers and facilitators of the adoption of these new paradigms. It subsequently conducts a literature-based analysis, examining how these two paradigms differ from three essential perspectives: People, technology, and organizations. Moreover, it offers a comprehensive framework to assist researchers and businesses in comprehending the technologies, challenges, and solutions associated with Industry 4.0. © 2023. Published by AHFE Open Access. All rights reserved.</t>
  </si>
  <si>
    <t>The current cybersecurity landscape for many companies, Small and Midsize Enterprises (SMEs), public services, and organizations is experiencing cyberattacks daily due to two main factors: 1) the powerful hacking and system-infiltrating tools generally supported by advanced AI techniques. 2) The incapability of current intrusion detection systems to react dynamically to new cyber threats once they occur. As the literature is rich with new papers proposing Large Language Model-based (LLM) solutions for anomaly detection and threat hunting, they are being used as detection models mimicking traditional machine learning and deep learning techniques without leveraging the full potential of LLMs. This work proposes a substantial addition to existing Generative Artificial Intelligence-based (GAI) Network Intrusion Detection Systems (NIDSs) by reinforcing their detection engine's rules generation process. We develop a new training method to train an LLM for the automated generation of new rules and propose the Rule Matching Score RuMS to measure the performance of our LLM-based rule generator. We demonstrated that our Llama and Falcon-based fine-tuned models generate NIDS rules respecting their standard field while achieving a 98.9% of matching scores between the actual and generated rules, while maintaining a minimal memory footprint.  © 2025 IEEE.</t>
  </si>
  <si>
    <t>This study investigates cybersecurity resilience in small and medium-sized enterprises (SMEs), focusing on three key aspects: the capacity to handle potential cyber incidents, the ability to recover from such incidents, and the capability to adapt in the face of possible cyber threats. Grounded in the Resource-Based View (RBV) framework, we conduct an empirical investigation utilizing a survey of 239 UK SMEs. The study makes a theoretical and methodological contribution, with significant implications for managers. First, the study highlights the lack of SMEs’ engagement with the management of cybersecurity and finds cybersecurity incidents to be the most important factor in driving resilience, as compared to cybersecurity capabilities. Moreover, the study also extends the RBV theory, emphasizing the importance of the interaction between cybersecurity capabilities affecting SMEs’ cybersecurity resilience. Second, the study showcases the potential of statistical methods, particularly machine learning techniques to identify the relationships between the factors affecting SMEs’ cybersecurity. © 2023 The Author(s). Published with license by Taylor &amp; Francis Group, LLC.</t>
  </si>
  <si>
    <t>Securing cyber-physical systems (CPS), which often form a nation's critical infrastructure, is becoming increasingly challenging. New threats are arising due to vulnerabilities in the Information Technology (IT), Operational Technology (OT), and their interactions. Moreover, the growth in artificial intelligence (AI) technologies have made it easy for attackers to exploit system vulnerabilities. A primary concern is the insufficient effectiveness of cyber operations and automated decision-making processes, which currently rely heavily on manual evaluation and subject matter experts (SMEs). A primary concern is the limited effectiveness of security evaluation methodologies in understanding a system's behavior during an attack. Current methodologies are generally suited for IT environments and do not easily adapt to OT due to their complexity. In addition, cybersecurity evaluation methods in OT often depend on manual evaluation and subject matter experts (SMEs). This paper introduces a novel framework based on LLMs and AI planning to automate threat emulation, facilitating the evaluation of the cybersecurity posture of OT systems. The newly introduced 'Automated Threat Emulation Framework' integrates with MITRE ATT&amp;CK for automatic execution of various Tactics, Techniques, and Procedures (TTPs) employed by the real-time attacks for emulating the threats. Our framework employs multiple specialized LLM-driven agents that collaboratively perform tasks of context summarization, strategic planning, decision-making, external data retrieval, automated code generation, and secure execution. Central to our methodology is the incorporation of AI Planning and Causal Loop Diagrams (CLD) to accurately simulate cyber-attacks and systematically analyze cascading effects across interconnected CPS components. Through a comprehensive prototype implementation and a detailed case study involving a digital substation automation system, we demonstrate the practical effectiveness and robustness of our approach. Our research contributes significantly to the domain by providing a systematic, adaptive, and scalable solution for real-time cyber security threat assessment, enhancing the resilience and security posture of critical CPS infrastructure against emerging threats. © 2025 IEEE.</t>
  </si>
  <si>
    <t>Companies are increasingly facing the challenges of a persistent cyber threat landscape. By means of AI, cyber attacks can be efficiently conducted more successful through offensive AI. As for cyber defense, AI can be also utilized against cyber threats (defensive AI). Due to limited resources, especially in small and medium-sized companies (SMEs), there is a need to deploy more effective defensive cyber security solutions. Precisely, the adaptation of AI-based resilient defenses must be driven forward. Therefore, the aim of this paper is to identify and evaluate AI-related use cases with a high impact potential on the cyber security level, while being applicable to SMEs at the same time. In order to reach the research goal, an extensive literature review of several online catalogs, surveys and online platforms was conducted. In conclusion, seven crucial AI-based security features were outlined that are providing a high impact potential to the security level for SMEs. Afterwards, the results are discussed and set into a broader context. Even though AI-based security solutions are providing a large range of advantages, certain challenges and barriers using AI-related security applications are addressed in the paper as well. A high need for usable state of the art AI based cyber security solution for SMEs was identified. © 2022, Society for Imaging Science and Technology</t>
  </si>
  <si>
    <t>This scoping review was conducted to have an overview of how Artificial Intelligence (AI) influenced cybersecurity posture in South African small and medium enterprises (SMES) utilizing cloud computing technologies. The study extract 57 articles from six electronic databases. After rigorous screen, only eighteen studies were eligible for analysis. Of the eighteen remaining studies, eight were empirical and ten desktops. A qualitative thematic approach was used to extract relevant data from the study to understand the current state of cybersecurity in SMEs. The study found that South African SMEs were using AI but did not harness opportunities it can offer in cybersecurity. The level of cybersecurity among the SMEs was very low due to lack of proper knowledge about threats that AI technologies could bring about if used by criminals. The study concluded SMEs were poorly prepared for AI use in general and in cybersecurity. The study was limited due to lack of literature related to the research questions. Therefore, it is recommended that a longitudinal empirical study be conducted with South African SMEs to have deeper understanding standing of how the adoption of AI is influencing their cybersecurity posture. © The Author(s), under exclusive license to Springer Nature Switzerland AG 2026.</t>
  </si>
  <si>
    <t>Small and medium-sized enterprises (SMEs) are increasingly vulnerable to cybersecurity threats, risking their operations and growth. This paper examines SMEs' specific weaknesses and identifies effective protection strategies. Combining quantitative tests and qualitative surveys and interviews, the study highlights key challenges like limited resources, lack of expertise, and emerging technology threats. It investigates the impact of quantum computing, which could compromise current encryption methods, and Artificial Intelligence (AI), which can enhance threat detection. The findings guide SMEs in adopting new technologies, improving employee training, and bolstering cybersecurity. The paper aims to develop tailored cybersecurity plans to ensure SMEs' safety and success in the digital age. © 2025 The Authors. Published by Elsevier B.V.</t>
  </si>
  <si>
    <t>Intelligent software packages have become fast-growing in popularity for large businesses in both developed and developing countries, due to their higher availability in detecting and preventing cybercrime. However, small and medium enterprises (SMEs) are showing prominent gaps in this adoption due to their level of awareness and knowledge towards cyber security and the security mindset. This is due to their priority of running their businesses over requiring using the right technology in protecting their data. This study explored how SMEs in Wales are handling cybercrime and managing their daily online activities the best they can, in keeping their data safe in tackling cyber threats. The sample collected consisted of 122 Welsh SME respondents in a collection of data through a survey questionnaire. The results and findings showed that there were large gaps in the awareness and knowledge of using intelligent software, in particular the uses of machine learning integration within their technology to track and combat complex cybercrime that perhaps would have been missed by standard cyber security software packages. The study’s findings showed that only 30% of the sampled SMEs understood the terminology of cyber security. The awareness of machine learning and its algorithms was also questioned in the implementation of their cyber security software packages. The study further highlighted that Welsh SMEs were unaware of what this software could do to protect their data. The findings in this paper also showed that various elements such as education and the size of SME made an impact on their choices for the right software packages being implemented, compared to elements such as age, gender, role and being a decision maker, having no impact on these choices. The study finally shares the investigations of various SME strategies to help understand the risks, and to be able to plan for future contingencies and preparation in keeping data safe and secure for the future. © 2022 by the authors.</t>
  </si>
  <si>
    <t>Small and medium-sized businesses are increasingly vulnerable to cyber threats due to their limited resources and expertise in cybersecurity. This conference paper investigates the integration of Security Information and Event Management (SIEM) systems and Artificial Intelligence (AI) solutions as a comprehensive approach to enhance their ability to detect threats and mitigate them. SIEM systems centralize data collection, analysis, and incident management, enabling organizations to detect complex security threats in real time. Meanwhile, AI technologies offer dynamic capabilities for identifying known and unknown threats, complementing SIEM’s effectiveness. Integrating both technologies provides a proactive defence against evolving cyber risks, making it an essential strategy for these types of businesses. © The Author(s), under exclusive license to Springer Nature Switzerland AG 2026.</t>
  </si>
  <si>
    <t>In a rapidly evolving technological and business environment, business leaders must adapt quickly to maintain their competitiveness. The main objective of this article is to propose a maintenance management guide with the innovation management process to help organizations develop effective innovation strategies and respond to the challenges of the Industry 4.0 era. It examines the principles and strategies of innovation management in the maintenance of industrial machinery and their impact on competitiveness. It focuses on the integration of digital technologies such as the Internet of Things (IoT), artificial intelligence (AI), and big data analytics into maintenance processes. This article explains that the introduction of modern technologies in the areas of predictive maintenance, condition-based maintenance, and intelligent maintenance significantly reduces machine downtime, increases production efficiency, and lowers operating costs. However, implementing these innovations comes with challenges, including data management, cybersecurity risks, lack of employee skills, and high investment costs, especially for small and medium-sized enterprises (SMEs). This article proposes a structured transition plan for the introduction of innovative maintenance strategies. The approach focuses on upskilling the workforce and cultivating an innovation-oriented corporate culture. By addressing these challenges, companies can strengthen their competitiveness and long-term sustainability in an increasingly digitalized industrial landscape. © 2025 by the authors</t>
  </si>
  <si>
    <t>The digitalization of Small and Medium-sized Enterprises (SMEs) is fundamental for business advancement, enabling their efficiency and competitiveness. However, this shift also exposes them to cyber-attacks. The SecurSentry: AI-Driven SIEM project aims to integrate Artificial Intelligence (AI) with traditional Security Information and Event Management (SIEM) to provide SMEs with a comprehensive, cost-effective cybersecurity solution. The system enhances threat detection, incident management, and regulatory compliance, offering SMEs a practical approach to mitigate risks without the need for significant financial resources. This paper examines the design, functionalities, and benefits of the SecurSentry solution, highlighting its role in empowering SMEs to manage cyber threats. © The Author(s), under exclusive license to Springer Nature Switzerland AG 2026.</t>
  </si>
  <si>
    <t>Information is an essential company asset that must be protected. The value of information assets depends on the type and scale of the business and its role in delivering services. One of the primary programs that can help identify areas of improvement and guide the development of security awareness programs is risk assessment. Managing cybersecurity risks is critical to protecting enterprises from developing cyber threats and promoting resilience. This includes detecting, assessing, and mitigating risks to protect sensitive data, systems, and networks. While cybersecurity risk management is challenging, organizations may improve their security posture. This paper seeks to contribute to the field of information security risk assessment by leveraging the power of machine learning to provide quick, cost-effective, and individualized risk assessments for small and medium enterprises. Specifically, we extend the evaluation for security level classification by utilizing a support vector machine, random forest, and gradient boosting algorithms. The results demonstrate how well the model detects significant cases while reducing false positives. The model’s exceptional precision ensures that its identifications are dependable, while the high recall demonstrates that it accurately detects relevant data. Precision is critical in security risk assessment because a false positive result might have profound effects. © 2025, Institute of Advanced Engineering and Science. All rights reserved.</t>
  </si>
  <si>
    <t>Small and Medium-sized Enterprises (SMEs) face disproportionately high risks from Advanced Persistent Threats (APTs), which often evade traditional cybersecurity measures. Existing frameworks catalogue adversary tactics and defensive solutions but provide limited quantitative guidance for allocating limited resources under uncertainty, a challenge amplified by the growing use of AI in both offensive operations and digital forensics. This paper proposes a game-theoretic model for improving digital forensic readiness (DFR) in SMEs. The approach integrates the MITRE ATT&amp;CK and D3FEND frameworks to map APT behaviors to defensive countermeasures and defines 32 custom DFR metrics, weighted using the Analytic Hierarchy Process (AHP), to derive utility functions for both attackers and defenders. The main analysis considers a non-zero-sum attacker–defender bimatrix game and yields a single Nash equilibrium in which the attacker concentrates on Impact-oriented tactics and the defender on Detect-focused controls. In a synthetic calibration across ten organizational profiles, the framework achieves a median readiness improvement of 18.0% (95% confidence interval: 16.3% to 19.7%) relative to pre-framework baselines, with targeted improvements in logging and forensic preservation typically reducing key attacker utility components by around 15–30%. A zero-sum variant of the game is also analyzed as a robustness check and exhibits consistent tactical themes, but all policy conclusions are drawn from the empirical non-zero-sum model. Despite relying on expert-driven AHP weights and synthetic profiles, the framework offers SMEs actionable, equilibrium-informed guidance for strengthening forensic preparedness against advanced cyber threats. © 2025 by the authors.</t>
  </si>
  <si>
    <t>Generative Artificial Intelligence (GenAI) is reshaping business operations across industries, enabling new efficiencies in automation, decision support, and cybersecurity. However, small and medium-sized enterprises (SMEs) often lack the technical expertise, financial resources, and implementation support needed to adopt GenAI effectively. At the same time, undergraduate Information Technology (IT) programs tend to focus on enterprise-scale AI development, creating a gap in preparing graduates to support GenAI deployment in small business contexts. This paper presents a curriculum proposal informed primarily by a literature review, supported by a Pennsylvania-based SME needs assessment survey to examine GenAI adoption challenges and identify key curriculum gaps. The model proposed is anchored in applied AI literacy, cybersecurity, ethical governance, and experiential engagement with small businesses. The model aligns with national workforce initiatives such as NICE and NSA CAE, helping to prepare IT graduates to bridge the AI readiness gap and drive local innovation through secure and practical GenAI adoption.  © 2025 Copyright is held by the owner/author(s). Publication rights licensed to ACM.</t>
  </si>
  <si>
    <t>Small and medium-sized enterprises (SMEs) continue to face significant cybersecurity challenges due to limited financial resources, technical capacity, and awareness. This study addresses these issues by pursuing four key objectives: (1) conducting a comprehensive assessment of cybersecurity knowledge and awareness within the SME sector through a systematic literature review, (2) evaluating the impact and effectiveness of cybersecurity awareness programs on SME behaviors and risk mitigation, (3) identifying core barriers—financial, technical, and organizational—that hinder effective cybersecurity adoption, and (4) introducing and validating the enhanced ROHAN model in conjunction with the Cyber Guardian Framework (CGF) to offer a scalable roadmap for cybersecurity resilience. Drawing on secondary data from Rawindaran (2023), the research highlights critical deficiencies in SME cybersecurity practices and emphasizes the need for tailored role-specific awareness initiatives. The enhanced ROHAN model addresses this need by delivering customized cybersecurity education based on industry sector, professional role, and educational background. Integrated with the CGF, the framework promotes structured, ongoing improvements across organizational, technological, and human domains. A mixed-methods approach was used, combining quantitative survey data from Welsh SMEs with qualitative interviews involving SME stakeholders. Advanced analytical techniques, including regression testing, Principal Component Analysis (PCA), and data visualization, were employed to uncover key insights and patterns. A distinctive feature of the ROHAN model is its integration of AI-powered tools for real-time risk assessment and decision-making, reflecting the principles of Industry 5.0. By aligning technological innovation with targeted education, this study presents a practical and adaptable cybersecurity framework for SMEs. The findings aim to bridge critical knowledge gaps and provide a foundation for a more resilient, cyber-aware SME sector in Wales and comparable regions. © 2025 by the authors.</t>
  </si>
  <si>
    <t>Mexico’s cybersecurity regulatory framework remains highly fragmented, as it comprises discrete provisions on cybercrime, national security, and data protection without forming a cohesive whole. Although progress has been made in criminal statutes and intelligence capacities, the lack of a unified cybersecurity law weakens enforcement consistency and interagency collaboration. This article offers a comprehensive analysis on existing regulatory instruments, legislative proposals from 2015 to 2025, and relevant international treaties, including the Budapest Convention and the newly adopted United Nations Convention against Cybercrime. The findings reveal persistent gaps and overlaps that hamper effective detection, mitigation, and prosecution of cyber threats, disproportionately affecting critical infrastructure and SMEs. Political disputes over surveillance powers, privacy safeguards, and alignment with global frameworks have repeatedly stalled efforts to pass integrated legislation. Further complicating the landscape, rapid technological developments such as generative artificial intelligence pose new challenges to threat detection and incident response. Nevertheless, partial alignment with international standards under the USMCA and improved global cybersecurity indices signal growing awareness of the need for more cohesive governance. The article concludes by advocating the enactment of a dedicated cybersecurity statute, separate from broader security measures, to harmonize definitions, clarify institutional mandates, and foster public-private collaboration. Enhanced interagency coordination and multi-stakeholder engagement are crucial for boosting national resilience and advancing an adaptive, rights-based approach to cybersecurity. © 2025 Universidad Nacional Autonoma de Mexico. All rights reserved.</t>
  </si>
  <si>
    <t>Digitalization has become an integral part of both private and business life, fundamentally transforming all sectors of society. In recent years, the rapid advancement of Artificial Intelligence (AI) has further reshaped the landscape of entrepreneurship by enhancing operational efficiency, streamlining customer interactions, and enabling more informed decision-making. These technological developments offer significant benefits, particularly for small and medium-sized enterprises (SMEs) seeking to remain competitive in a dynamic digital environment. At the same time, these advances introduce new and increasingly complex risks, most notably, the rising threat of cyberattacks. SMEs, which typically operate with constrained financial and human resources, often face significant difficulties in developing and maintaining robust cybersecurity systems. This lack of preparedness makes them particularly attractive targets for cybercriminals, especially in the context of AI-driven operations that introduce novel vulnerabilities. To address these challenges, this paper proposes a matrix-based approach that systematically links critical SME assets to specific categories of cyber risks. Building on the authors’ previous research, the study identifies and classifies essential assets and major threat types, integrating them into a comprehensive matrix framework. The proposed model serves as a practical tool for assessing vulnerability, prioritizing protective actions, and ultimately supporting SMEs in enhancing their overall cyber resilience. © WMSCI 2025.All rights reserved.</t>
  </si>
  <si>
    <t>Cybercrime poses a significant threat to India’s business environment, disrupting economic ecosystems, revenue growth, innovation, and employee well-being. As digital adoption accelerates, sectors like banking, e-commerce, and manufacturing face escalating vulnerabilities. This study analyses cyber crime’s multifaceted impact, revealing projected losses of ₹20,000 crore in 2025, with banking (₹8,200 crore) and retail (₹5,800 crore) hardest hit. Beyond financial damage, attacks erode trust, delay deliveries (30% of manufacturers), and slow AI/cloud adoption (40%). Intellectual property theft affects 22% of firms, while SMEs struggle with weak defences (73% prioritize cybersecurity). Employees face data breaches (32% via PUPs) and stress (45%). The paper advocates for stronger policies (e.g., enhancing I4C), AI-driven security, and workforce training to build resilience. A holistic approach—combining regulation, public-private collaboration, and awareness—is critical to safeguarding India’s digital economy. © The Author(s), under exclusive license to Springer Nature Switzerland AG 2026.</t>
  </si>
  <si>
    <t>This paper proposes an intermediate solution using artificial intelligence to monitor any potential threat for SME, specifically in Malaysia. The proposed method uses Autoencoder based Deep Neural Network (AEDNN) trained with NSL-KDD dataset to efficiently detect possible cyber threats. This paper proposed AEDNN to detect automated threats cybersecurity and it does not intend to replace any existing security solutions. The proposed AEDNN is designed to detect any possible cyber threats accurately and consistently in the real-time network. The experimental results show that accurate results in the range between 96% to 99% specifically for SMEs in Malaysia.  © 2021 IEEE.</t>
  </si>
  <si>
    <t>The increasing amount and complexity of cyber security attacks in recent years have made text analysis and data-mining based techniques an important factor in detecting security threats. However, despite the popularity of text and other data mining techniques, the cyber security community has remained somehow reluctant in adopting an open approach to security-related data. In this paper, we analyze a dataset that has been collected from five Small and Medium companies in South Korea, this dataset represents cyber security incidents and response actions. We investigate how the data representing different incidents collected from multiple companies can help improve the classification accuracy and help the classifiers in distinguishing between different types of incidents. A model has been developed using text mining methods, such as n-gram, bag-of-words and machine learning algorithms for the classification of incidents and their response actions. Experimental results have demonstrated good performance of the classifiers for the prediction of different types of response and malware. © 2019 by SCITEPRESS - Science and Technology Publications, Lda.</t>
  </si>
  <si>
    <t>Background Generative Artificial Intelligence (AI) technology, for instance Chat Generative Pre-trained Transformer (ChatGPT), is continuously evolving, and its userbase is growing. These technologies are now being experimented by the businesses to leverage their potential and minimise their risks in business operations. The continuous adoption of the emerging Generative AI technologies will help startups gain more and more experience with adoptions, helping them to leverage continuously evolving technological innovation landscape. However, there is a dearth of prior research on ChatGPT adoption in the startup context, especially from Entrepreneur perspective, highlights the urgent need for a thorough investigation to identify the variables influencing this technological adoption. The primary objective of this study is to ascertain the factors that impact the uptake of ChatGPT technology by startups, anticipate their influence on the triumph of companies, and offer pragmatic suggestions for various stakeholders, including entrepreneurs, and policymakers. Method and analysis This study attempts to explore the variables impacting startups’ adoption of ChatGPT technology, with an emphasis on comprehending entrepreneurs’ attitudes and perspectives. To identify and then empirically validate the Generative AI technology adoption framework, the study uses a two-stage methodology that includes experience-based research, and survey research. The research method design is descriptive and Correlational design. Stage one of the research study is descriptive and involves adding practical insights, and real-world context to the model by drawing from the professional consulting experiences of the researchers with the SMEs. The outcome of this stage is the adoption model (also called as research framework), building Upon Technology Adoption Model (TAM), that highlight the technology adoption factors (also called as latent variables) connected with subset of each other and finally to the technology adoption factor (or otherwise). Further, the latent variables and their relationships with other latent variables as graphically highlighted by the adoption model will be translated into the structured questionnaire. Stage two involves survey based research. In this stage, structured questionnaire is tested with small group of entrepreneurs (who has provided informed consent) and finally to be distributed among startup founders to further validate the relationships between these factors and the level of influence individual factors have on overall technology adoption. Partial Least Squares Structural Equation Modeling (PLS-SEM) will be used to analyze the gathered data. This multifaceted approach allows for a comprehensive analysis of the adoption process, with an emphasis on understanding, describing, and correlating the key elements at play. Discussion This is the first study to investigate the factors that impact the adoption of Generative AI, for instance ChatGPT technology by startups from the Entrepreneurs perspectives. The study’s findings will give Entrepreneurs, Policymakers, technology providers, researchers, and Institutions offering support for entrepreneurs like Academia, Incubators and Accelerators, University libraries, public libraries, chambers of commerce, and foreign embassies important new information that will help them better understand the factors that encourage and hinder ChatGPT adoption. This will allow them to make well-informed strategic decisions about how to apply and use this technology in startup settings thereby improving their services for businesses. © 2024 Public Library of Science. All rights reserved.</t>
  </si>
  <si>
    <t>The digitization of cultural heritage, while expanding its accessibility and scientific value, increases its vulnerability to increasingly sophisticated cyber threats, with potential impacts on preservation, integrity and public trust. Cultural institutions, similar in size and operations to Small and Medium Enterprises (SMEs), face increasing cybersecurity challenges, hampered by limited resources, lack of expertise, and regulatory complexities. This article presents PACY (Pro-Active Cybersecurity), an innovative Artificial Intelligence-based platform designed to simplify cybersecurity management for such entities. PACY leverages Large Language Models (LLMs) through a specialized multi-Agent architecture, in which dedicated AI agents, refined through prompt engineering, guide non-expert users through diagnosis and incident response. By natively integrating Open Source Intelligence (OSINT) sources such as VirusTotal and IntelX, and offering natural language interaction, PACY simplifies threat analysis. A distinguishing feature is the automatic generation of structured incident reports, essential for compliance and escalation. Initial validation shows how PACY significantly reduces cognitive load and improves operational effectiveness compared to generalist LLMs, bridging the skills gap for cultural institutions. © 2025 IEEE.</t>
  </si>
  <si>
    <t>This study explores the integration of artificial intelligence (AI) and cloud computing within posthumanist technologies, focusing on their impact on business optimization and information security. A systematic review of 40 studies across sectors such as banking and retail highlights the benefits of AI in automating tasks and enhancing decision-making, while cloud computing provides flexibility and scalability. However, risks like data privacy issues, algorithmic bias, and cybersecurity vulnerabilities demand attention. The research emphasizes the need for ethical frameworks and security strategies to mitigate these risks. Additionally, it stresses the importance of equitable access to these technologies for small and medium-sized enterprises (SMEs) and marginalized communities. The study provides actionable recommendations for businesses and calls for future research on the long-term societal implications of these technologies. © 2024, University of PGRI Semarang. All rights reserved.</t>
  </si>
  <si>
    <t>Our paper explores how IT security issues affect the implementation of Industry 4.0 in small and medium-sized enterprises (SMEs) in the manufacturing sector. To develop this research question, we carry out an empirical study, with a survey of 3184 manufacturing SMEs, using the “Flash Eurobarometer No. 486” database from Eurostat (European Union). Using machine-learning methodology (ML), our contribution extends previous literature on the barriers to the digital transformation of SMEs, showing the role that IT security issues play in this process. Firstly, our findings indicate a positive association between IT security issues and the process of digitalisation within companies. These IT security challenges are perceived as catalysts for digital transformation, particularly in the context of SMEs. Secondly, our research reveals a significant degree of heterogeneity in the levels of digitalisation across companies. This spectrum ranges from firms at the forefront of digital technology integration, incorporating advanced elements like robotics, cloud computing, and smart devices, to another group of companies in the early stages of adopting Industry 4.0 technologies. Lastly, our study underscores the existence of a parallel relationship between IT security issues and the extent of digitalisation within SMEs. This connection highlights the intricate interplay between cybersecurity concerns and the level of digital maturity achieved by these businesses. © 2023 The Authors</t>
  </si>
  <si>
    <t>The primary goal of the article is to analyse whether the benefits of implementing AI-based solutions in the area of cybersecurity may be a sufficient stimulus for Polish Small and Medium-Sized Enterprises (SMEs) to decide for their adoption. With this view in mind, the author of the paper analyses recent legislative changes in the domain of data protection such as General Data Protection Regulation. Additionally, the need for legislative changes is highlighted in the light of ever increasing adoption of AI-based solutions in all types of organisations. Then, the research focus pertains to contemporary threats to data security in Polish SMEs, with a particular stress on the latest AI-based attacks. For this purpose data from national cybersecurity institutions are analysed to determine the most serious attacks aimed at Polish organisations. This is followed by the analysis of the defence potential of the investigated enterprises in terms of financial funds they spend on cybersecurity as well as persons in these organisations responsible for handling data protection issues. The next part of the paper is an analysis of the benefits stemming from application of AI-based tools in the cybersecurity domain. Its main objective is to find out the answer to the research question: What benefits stemming from application AI-based solutions can encourage Polish SMEs to make investments into these cybersecurity tools given their size and budget capacities)? The paper finishes with the conclusion and indication of potential further research avenues. © 2024 The Authors.</t>
  </si>
  <si>
    <t>The present digital world marks the Micro, Small and Medium Enterprises (MSMEs) the backbone of developing country’s economy. MSMEs contribute largely towards employment and GDP. The digital age has alarmingly reshaped the global markets posing both challenges and opportunities for MSMEs, thereby shaping their future in unprecedented ways. The prospects of digitalization paves way for the small businesses to access global markets, improve efficiency and enhance customer engagement through e-commerce, fintech solutions, AI and cloud-based technologies. Platforms like Amazon, Flipkart and ONDC provide MSMEs in various sectors of manufacturing, services, agriculturally based, trade and retail with opportunities to expand their business beyond local markets. However, MSMEs in developing countries face significant barriers to digital adoption in conduct of their business, including limited internet access, lack of digital literacy, cybersecurity risks and inadequate financial support. Besides, many small businesses struggle with high cost of technology, unreliable infrastructure and resistance to change. Governments and policymakers play a major role bridging this gap through digital training programs, infrastructure development and financial incentives. The future of MSMEs in the digital economy depends largely on their ability to innovate and adapt. Lastly, financial inclusion with right policies enables MSMEs to access credit, digital payment, banking services in digital age fostering sustainable growth, employment opportunities and economic resilience in developing countries. © The Author(s), under exclusive license to Springer Nature Switzerland AG 2026.</t>
  </si>
  <si>
    <t>The aim of this study is to explore the correlation between legal and ethical considerations (LEC) and the effectiveness of cyber forensic accounting (ECFA). This study investigates the role of artificial intelligence competencies (AIC) as a mediator in the link between LEC and ECFA. This research confirms and delineates the relationship among LEC, ECFA, and AIC through a hypothetico-deductive approach. The statistical database was generated from a paper-and-pencil survey administered to a cross-sectional sample of 723 respondents using convenience and snowball sampling methods. The partial least squares structural equation modeling was implemented to evaluate the measurement and structural models. An analysis of the results indicated that LEC exerted a significant and favorable influence on ECFA. Furthermore, it illustrated that AIC partially mediated the link between LEC and ECFA. Furthermore, the study’s outcomes would aid the Government in improving and methodically formulating strategies to foster the implementation of forensic accounting and the artificial intelligence application. © 2025 The Author(s). Published with license by Taylor &amp; Francis Group, LLC.</t>
  </si>
  <si>
    <t>Information-technology (IT) security standards are regularly updated in a rapidly changing technological world to maintain pace with advanced technologies. This study was motivated by the realization that established IT risk-management frameworks might provide an adequate defence for small- and medium-sized enterprises (SMEs), especially those actively adopting new technologies. We reviewed that a dynamic IT risk-management framework, updated to reflect emerging technological changes, would offer improved security and privacy for SMEs. To evaluate this, we conducted a systematic literature review spanning 2016 to 2021, focusing on IT risk-management research in various application areas. This study revealed that, while established frameworks like NIST have their benefits, they need to be better suited to the unique needs of SMEs due to their high degree of abstractness, vague guidelines, and lack of adaptability to technological advancements. The findings suggest a pressing need to evolve IT risk-management frameworks, particularly by incorporating advanced methods such as system dynamics, machine learning, and technoeconomic and sociotechnological models. These innovative approaches provide a more dynamic, responsive, and holistic approach to risk management, thereby significantly improving the IT security of SMEs. The study’s implications underscore the urgency of developing flexible, dynamic, and technology-informed IT risk-management strategies, offering novel insights into a more practical approach to IT risk management. © 2023 by the authors.</t>
  </si>
  <si>
    <t>Small-sized and medium-sized enterprises (SMEs) are vital to global economies but remain highly vulnerable to cyber threats due to limited resources, technical capacity, and awareness. This bibliometric study analyzes 245 peer-reviewed documents on SME cybersecurity published between 2005 and 2025, mapping the field through keyword co-occurrence, author productivity, citation patterns, and collaboration networks. Results show steady growth, with research output increasing at 16.7% annually. Core themes include awareness, governance, risk management, digital adoption, and Industry 4.0 integration, with a clear shift from technical toward strategic and human-centered approaches. Lotka's Law indicates fragmentation, as most authors contribute only once, underscoring the need for academic continuity. The United States, the United Kingdom, and South Africa dominate in volume, while France and Australia stand out for international collaboration. Influential contributors such as Spruit M and De Arroyabe JCF emphasize regulatory compliance and resilience. The literature highlights persistent challenges for SMEs in adopting standards like ISO 27001 and emerging technologies such as machine learning. Promising interventions include gamified training tools like CySecEscape 2.0 to strengthen awareness. This study advances understanding of SME cybersecurity research and calls for tailored, interdisciplinary strategies to enhance resilience, offering insights for policy, scholarship, and practice. The bibliometric evidence also reveals a growing recognition of the role of public policy and regulation in shaping SME cybersecurity practices. Highly cited works such as Kabanda et al. (2018), Heidt et al. (2019), Kljucnikov et al. (2019), and Tamvada et al. (2022) emphasize that national and European regulatory frameworks, including the NIS2 Directive and the Cyber Resilience Act, significantly influence SMEs' readiness, compliance behavior, and investment in security. These findings underline that effective cybersecurity strategies for SMEs require not only technological and organizational measures but also coherent public policy support and accessible institutional mechanisms. © 2025 Matúš Panko et al., published by University of Matej Bel in Banska Bystrica, Faculty of Economics.</t>
  </si>
  <si>
    <t>In light of the ongoing digital transformation, small and medium-sized enterprises (SMEs) in Peru are becoming increasingly susceptible to phishing attacks, which threaten both operational continuity and the protection of sensitive data. To tackle this issue, this study introduces a smart web-based solution designed to detect malicious URLs by leveraging machine learning (ML) techniques. The main objective of this study is to develop and evaluate a machine learning-based browser extension capable of accurately identifying phishing URLs in real-time scenarios. The system was assessed using three classification algorithms—XGBoost, LightGBM, and Random Forest—trained on publicly available datasets from PhishTank and PhishStorm. The performance of each model was evaluated using key metrics, including accu-racy, precision, recall, specificity, F1-score, receiver operating characteristic curve (ROC), and the area under the ROC curve (AUC). Among the tested models, XGBoost achieved the highest performance, recording an AUC of 0.99 and an accuracy of 94.6%. The tool proved effective in identifying phishing links, especially by reducing the rate of false negatives, which is crucial for real-time threat prevention. In addition, a continuity strategy was developed to ensure smooth integration into the digital environments of SMEs. This proposed solution stands out for its ease of deployment, scalability, and efficiency, offering a meaningful contribution to improving cybersecurity and strengthening the digital resilience of Peru’s SME sector. © 2026 by the authors of this article.</t>
  </si>
  <si>
    <t>This study investigates the integration of digital marketing technologies and marketing capability frameworks to optimize the performance of Micro, Small, and Medium Enterprises (MSMEs) within technology-driven markets. Leveraging an ICT adoption perspective, the research quantitatively examines the influence of advanced digital marketing platforms including AI-enabled analytics, customer relationship management (CRM) systems, and social media automation tools on MSME productivity across diverse sectors. Data were collected through structured surveys and transactional records from MSME owners and managers, followed by comprehensive statistical analysis incorporating regression and technology adoption modeling techniques. Results demonstrate that MSMEs with robust marketing capabilities combined with effective deployment of digital marketing technologies exhibit significantly improved operational metrics, such as customer engagement, sales growth, and market reach. However, barriers including limited digital infrastructure, cybersecurity concerns, and low digital literacy impede full technology utilization. The findings highlight the necessity for targeted ICT capacity-building programs and scalable digital infrastructure development to facilitate the adoption of sophisticated marketing tools. This research advances the understanding of technologyenabled marketing optimization in small enterprises and provides practical guidelines for practitioners and policymakers focused on digital transformation and sustainable economic growth. Future research should explore longitudinal impacts of emerging technologies and cross-sectoral technology diffusion to deepen insights into the digital evolution of MSMEs. © 2025 IEEE.</t>
  </si>
  <si>
    <t>Small and medium-sized enterprises face challenges in adopting advanced manufacturing technologies due to limited resources and technical expertise. This study presents a low-code/no-code framework for integrating manufacturing assets with digital twins using MQTT Sparkplug B and NVIDIA Omniverse. Two DTs are developed: a one-way DT for monitoring operations of the Haas VF-2 CNC machine and a two-way DT for simulating and controlling the UR10e robot. Our findings highlight the effectiveness of low-code platforms, such as Node-RED, in streamlining Machine-to-Machine and Human-to-Machine communication. These platforms enable operators to create dashboards and automate workflows without advanced programming skills. Advanced technologies, including computer vision, augmented reality, and 5G, further enhance H2M interaction, enabling responsive and immersive work environments. The framework aligns with ISO 23247 standards, ensuring interoperability between physical and digital systems. While low-code/no-code solutions democratize access to IIoT, challenges in scalability, data latency, and security remain. Future research should focus on improving platform scalability, integrating AI-driven analytics, and enhancing cybersecurity. This work demonstrates how SMEs can adopt advanced IIoT technologies, fostering adaptive and autonomous manufacturing environments. © 2025 The Author(s)</t>
  </si>
  <si>
    <t>Smart Factories are complex manufacturing ecosystems where the converging of ICT and operational technologies and competences drive the digital transformation. Smart manufacturing operations planning and control program, as defined by NIST, implement advances in measurement science that enable performance, quality, interoperability, wireless and cybersecurity standards for real-time prognostics and health monitoring, control, and optimization of smart manufacturing systems. The traditional production processes and plants are evolving following this digitalization combining the long experience and the AI-driven methods to improve the production efficiency, to accelerate the fine-tuning and real-time adjustment of the process parameters oriented to the zero defect quality. The digitalization of multi-stages production processes (e.g. foundry) plays a key role in competitiveness introducing new integrated platform to monitor the process through an intelligent sensors network and predict quality and cost of castings in real-time. The application presented in this paper is the main outcome of EU FP7-MUSIC project giving a new age to the traditional multi-stages production. The actual regional project PreMANI (POR FESR 2014–2020) is a new extended application of AI-driven digital twin in manufacturing process and quality control. This paper demonstrates the applicability of data-driven digital twins to small and medium-sized enterprises (SME) and to complex manufacturing sectors integrating the process monitoring with advance data mining and cognitive approach to predict the quality, the efficiency vs cost and react in real-time with the support of decision support system. © 2020, IFIP International Federation for Information Processing.</t>
  </si>
  <si>
    <t>This paper presents three XR (Virtual/Augmented/Mixed Reality) case studies that showcased knowledge transfer between Academia and Small and Medium-sized Enterprises (SMEs). The aim is to illustrate the real-world process and impact of XR technology adoption in SMEs, highlighting both opportunities and challenges from a business perspective. Developed under the UK-based Centre for Digital Innovation (CDI), these projects focused on accelerating digital technology adoption. The CDI supported SMEs by translating R&amp;D into practical solutions, fostering innovation, and enhancing digital skills through online platforms. The wider initiative collaborated with four universities and industry experts. Many SMEs were offered expert support in AI, cybersecurity, industrial digitalization, and immersive tech. For each case, bespoke XR prototypes were developed to meet SME requirements, and feedback was gathered directly from SME leadership through interviews. The case studies demonstrate how XR can augment SME practices and the challenges they face. © The Author(s), under exclusive license to Springer Nature Switzerland AG 2026.</t>
  </si>
  <si>
    <t>This research innovative practice full paper explores the use of software engineering principles as a guide to systematically improving the quality of concept maps. Concept maps are promoted as an effective tool for students and instructors to visualize relationships among key concepts. A 'good' concept map is one that stands alone and does not require instructor explanation. Just as software can possess 'smells' that affect postproduction understandability, so can concept maps. This paper evaluates the quality of concept maps through the lens of software development to identify and address potential 'smells' in maps, such as irrelevant concepts, missing concepts, duplicated concepts, ordered concepts, weak relationships, incomplete relationships, inconsistent levels of detail, and misuse of crosslinks. This research was motivated by discovering elements that led to confusion, ambiguity, and misunderstanding in instructor-authored concept maps. The effectiveness of the approach was evaluated by employing generative artificial intelligence tools to compare maps containing smells with maps with smells removed. This paper provides insights into how software engineering principles can enhance the design and assessment of educational concept maps, fostering critical thinking and ultimately improving both students' and instructors' understanding, retention, and application of complex knowledge. It lays the foundation for concept maps that can be digested by generative AI tools, thus possibly opening them to automated critique. © 2025 IEEE.</t>
  </si>
  <si>
    <t>The merger of 5G, AI, blockchain, and IoT is transforming the enterprise through superfast connectivity, low-latency real-time data processing, and secure decentralized networking. Convergence on healthcare, industry, or finance is actually driving innovation in terms of actual real-time monitoring systems, predictive maintenance, automation of procedure, and secure as well as transparent transactions. Some examples of such breakthroughs are in the healthcare sector, where 5G represents promising opportunities for remote surgeries and AI diagnostics, and in manufacturing, where smart factories with IoT-based asset management can be more effectively innovated. To do such work well, longitudinal studies need to be conducted to track how these business models will change, efficiencies will be fostered, and novel market opportunities will be created over the course of the next decade with the advent of such breakthroughs in 5G. Although this heralds innovation, SMEs experience significant entry barriers in that implementing 5G-compatible infrastructure and integrating AI, blockchain, and IoT technologies incur very high costs. An enormous data management and cybersecurity burden is also closely matched with scalability issues for SMEs. Resource availability—both in terms of skilled personnel and capital—is critical to SMEs’ adoption of new technologies and, thus, increasingly extends the gap between SMEs and larger firms. Environmental concerns come with large-scale 5G deployment. Powering such 5G networks will have to come through much more energy than is consumed by past generation 4G networks. The densification of cell towers and generally larger data centers can increase carbon footprints significantly. Electronic component consumption in the form of e-waste also raises sustainability concerns. © The Author(s), under exclusive license to Springer Nature Singapore Pte Ltd. 2025.</t>
  </si>
  <si>
    <t>The trend towards increasing digital integration across global systems is limited by significant differences between countries with high technology literacy, and countries that remain digitally nascent. This study examines the critical challenge of implementing the National Institute of Standards and Technology (NIST) Cybersecurity Framework in developing economies. While NIST provides a robust and globally recognized model, its successful adoption is often hindered by context-specific barriers. This research argues that digital literacy (DL) is the most fundamental of these barriers, as it underpins other challenges, including resource constraints, inadequate policy frameworks, and limited public-private partnerships (PPPs). Through a comparative case study analysis of South Africa, Kenya, and India, this paper proposes that a successful pathway to compliance requires a contextualized, multi-stakeholder approach that prioritizes grassroots digital skills development and creates frameworks tailored to the needs of small and medium-sized enterprises (SMEs). The paper introduces the SACyber SME Framework as a model, emphasizing that top-down policy adherence must be supported by bottom-up capacity building. This work shows how a complex, technical standard can be translated into an accessible and actionable guide in countries with limited digital literacy. © IFIP International Federation for Information Processing 2026.</t>
  </si>
  <si>
    <t>This study explores informatization factors influencing digital transformation (DT) in manufacturing small and medium-sized enterprises (SMEs). Unlike previous research that focuses on large enterprises, this study addresses the unique challenges faced by SMEs, such as resource constraints and limited IT infrastructure, by applying a data-driven approach enhanced with explainable AI (XAI) methods to ensure interpretability and actionable insights. Using a dataset of 112 variables from manufacturing SMEs, this study applies machine learning techniques including light gradient boosting machine and Shapley Additive exPlanations analysis to identify and prioritize factors influencing DT. The results highlight key factors such as IT investment, information security, and business innovation, which are crucial to DT success. Moreover, interactions between factors such as enterprise resource planning and groupware utilization create synergies that enhance DT effectiveness. These findings offer actionable insights for SME managers and policymakers, emphasizing strategic resource allocation and prioritization of critical factors to overcome DT challenges. By leveraging a data-driven framework, this study provides practical guidance to address the specific needs of SMEs and facilitate effective DT implementation. © 2025 Informa UK Limited, trading as Taylor &amp; Francis Group.</t>
  </si>
  <si>
    <t>In many developed countries, the usage of artificial intelligence (AI) and machine learning (ML) has become important in paving the future path in how data is managed and secured in the small and medium enterprises (SMEs) sector. SMEs in these developed countries have created their own cyber regimes around AI and ML. This knowledge is tested daily in how these countries’ SMEs run their businesses and identify threats and attacks, based on the support structure of the individual country. Based on recent changes to the UK General Data Protection Regulation (GDPR), Brexit, and ISO standards requirements, machine learning cybersecurity (MLCS) adoption in the UK SME market has become prevalent and a good example to lean on, amongst other developed nations. Whilst MLCS has been successfully applied in many applications, including network intrusion detection systems (NIDs) worldwide, there is still a gap in the rate of adoption of MLCS techniques for UK SMEs. Other developed countries such as Spain and Australia also fall into this category, and similarities and differences to MLCS adoptions are discussed. Applications of how MLCS is applied within these SME industries are also explored. The paper investigates, using quantitative and qualitative methods, the challenges to adopting MLCS in the SME ecosystem, and how operations are managed to promote business growth. Much like security guards and policing in the real world, the virtual world is now calling on MLCS techniques to be embedded like secret service covert operations to protect data being distributed by the millions into cyberspace. This paper will use existing global research from multiple disciplines to identify gaps and opportunities for UK SME small business cyber security. This paper will also highlight barriers and reasons for low adoption rates of MLCS in SMEs and compare success stories of larger companies implementing MLCS. The methodology uses structured quantitative and qualitative survey questionnaires, distributed across an extensive participation pool directed to the SMEs’ management and technical and non-technical professionals using stratify methods. Based on the analysis and findings, this study reveals that from the primary data obtained, SMEs have the appropriate cybersecurity packages in place but are not fully aware of their potential. Secondary data collection was run in parallel to better understand how these barriers and challenges emerged, and why the rate of adoption of MLCS was very low. The paper draws the conclusion that help through government policies and processes coupled together with collaboration could minimize cyber threats in combatting hackers and malicious actors in trying to stay ahead of the game. These aspirations can be reached by ensuring that those involved have been well trained and understand the importance of communication when applying appropriate safety processes and procedures. This paper also highlights important funding gaps that could help raise cyber security awareness in the form of grants, subsidies, and financial assistance through various public sector policies and training. Lastly, SMEs’ lack of understanding of risks and impacts of cybercrime could lead to conflicting messages between cross-company IT and cybersecurity rules. Trying to find the right balance between this risk and impact, versus productivity impact and costs, could lead to UK SMES getting over these hurdles in this cyberspace in the quest for promoting the usage of MLCS. UK and Wales governments can use the research conducted in this paper to inform and adapt their policies to help UK SMEs become more secure from cyber-attacks and compare them to other developed countries also on the same future path. © 2021 by the authors. Licensee MDPI, Basel, Switzerland.</t>
  </si>
  <si>
    <t>Cyberattacks threaten continuously computer security in companies. These attacks evolve everyday, being more and more sophisticated and robust. In addition, they take advantage of security breaches in organizations and companies, both public and private. Small and Medium-sized Enterprises (SME), due to their structure and economic characteristics, are particularly damaged when a cyberattack takes place. Although organizations and companies put lots of efforts in implementing security solutions, they are not always effective. This is specially relevant for SMEs, which do not have enough economic resources to introduce such solutions. Thus, there is a need of providing SMEs with affordable, intelligent security systems with the ability of detecting and recovering from the most detrimental attacks. In this paper, we propose an intelligent cybersecurity platform, which has been designed with the objective of helping SMEs to make their systems and network more secure. The aim of this platform is to provide a solution optimizing detection and recovery from attacks. To do this, we propose the application of proactive security techniques in combination with both Machine Learning (ML) and blockchain. Our proposal is enclosed in the IASEC project, which allows providing security in each of the phases of an attack. Like this, we help SMEs in prevention, avoiding systems and network from being attacked</t>
  </si>
  <si>
    <t>Purpose – 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Design/methodology/approach – A repeated cross-sectional survey of 1, 500 firm-year observations (2014–2023) is analysed using covariance-based SEM (maximum likelihood, 5, 000 bootstraps). This paper reports global fit, R², Q² and f²</t>
  </si>
  <si>
    <t>Ignoring the importance of cybersecurity risk management in SMEs became an issue among decision-makers. Lack of strategic investment decision by SMEs could lead to further risks and vulnerabilities. The significant increase of cybersecurity threats might become a very difficult task for both SMEs and other parties in the future. The purpose of this paper is to identify potential barriers to cybersecurity risk management investment in SMEs based on conducting several interviews with decision-makers in the sector to understand the causes of this prevention. The authors aim to reveal the role the SMEs' decision-makers are playing in addressing cybersecurity risks in recent years and to suggest avenues for further research. The paper follows a qualitative exploratory approach to identify those potential barriers. Starting with an invitation are distributed by e-mail, phone call, or social medial account, to hundreds of Saudi's decision-makers in the SMEs sector, asking them to participate in this study. As a result, 20 participants from various SMEs business sectors have agreed to participate. Therefore, six potential barriers that play a key role in the prevention of cybersecurity risk management investment in SMEs, which are the financial capacity, the lack of awareness, the size of SMEs, the traditional commerce, the absence of risk standards, and the over-confidence of decision-makers. Some of these barriers impacts have been discussed before in different contexts. Yet, this study investigates these barriers impact on preventing SMEs from investing in CRM. Also, to the best of authors knowledge, none of previous research has combined these barriers together with an insight to measure their effect on managerial decision-making. Further research on cybersecurity risk management in SMEs is needed.  © 2021 IEEE.</t>
  </si>
  <si>
    <t>Webscale services dealing with sensitive content are increasingly being deployed in public and hybrid cloud environments. At the same time, the impact of security breaches have also increased manifold averaging at USD 3.86M per data breach To tackle such increasing risks, regulations and security frameworks are defined that an organization must comply with. Most of these frameworks are published in natural language text that run into hundreds of pages resulting into thousands of requirements and controls. When these frameworks undergo revisions, understanding the changes, and interpreting their impact consumes huge amount of time, effort and resources. In this paper, we propose a change management system that supports SMEs with AI-assisted automation of this extremely manual and time consuming activity. Specifically, we introduce the concept of live crosswalks - a framework that models complex relationships among security and compliance documents along with associated operations to manage the change. It uses natural language processing (NLP) and algorithmic techniques to transform the current document-driven, highly manual process into a data-driven interactive intelligent system. We present the overall design and demonstrate its efficacy over several hundreds of diversified controls through experimental evaluation. Copyright © 2022, Association for the Advancement of Artificial Intelligence (www.aaai.org). All rights reserved.</t>
  </si>
  <si>
    <t>Nowadays there is a growing demand for small‐ and medium‐sized enterprises (SMEs) to improve their level of digitalisation. This situation becomes even more critical in cases when SMEs act in the role of a subcontractor of large enterprises who demand the utilisation of certain digital operations. This paper aims to identify the essential Industry 4.0 attributes for the requirements of SMEs that enterprises can purchase to deploy an adequate solution with a view of increasing their competitiveness in the market. By analysing research articles and statistical data from the worldwide Web of Science database, we identify the major Industry 4.0 attributes for SME: Internet of Things (IoT), Big Data, Artificial Intelligence (AI), Cloud Computing, Simulation and Cybersecurity. Based on the review results and a survey by the European Commission, we propose devices primarily designed to implement AI tasks in industrial environments that meet the essential attributes for SMEs and have low entry costs. The subject of IoT is thoroughly addressed. Its subsets and the relationship between Industrial Internet of Things (IIoT) and Artificial Intelligence of Things (AIoT) are introduced and described. The characteristics of the listed devices as related to usability in the identified attributes are verified. Therefore, the description of the devices is provided with respect to their usability in SMEs. The main purpose of this paper is to identify attributes for SMEs and to develop strategic plans for the digitalisation requirements, particularly in the development of Artificial Intelligence as part of the implementation of the IoT pillar. © 2022 by the authors. Licensee MDPI, Basel, Switzerland.</t>
  </si>
  <si>
    <t>Machine learning-based malware classification has become a key component of modern defense-in-depth strategies, with focus placed on the binary classification task of malware detection. These detection models are typically combined with other toolchains, which provide additional context necessary for triage and remediation, including detection names, capability, and type information. The resulting systems are often complex and interconnected, incurring significant technical debt, infrastructure costs, and inevitable errors. In this paper, we examine the feasibility of using machine learning to streamline malware analysis pipelines in a manner which minimizes potential risks and costs while preserving flexibility and functionality. To this end, we explore the use of metric learning to embed malicious and benign samples in a low-dimensional vector space with enriched capability information for downstream use in a variety of applications, including detection, family classification, and malware attribute classification. Specifically, we enrich labeling on malicious and benign PE files from the EMBER dataset using Mandiant’s CAPA tool, an open-source toolchain which uses disassembly and subject matter expert (SME) derived rules and heuristics to determine malicious capabilities. Using these CAPA labels, we derive several different types of metric embeddings utilizing an embedding neural network trained via contrastive loss, Spearman rank correlation on malware similarity, and combinations thereof. We then examine performance on a variety of transfer tasks performed on the EMBER and SOREL datasets. We show that for a variety of transfer tasks, we are able to utilize relatively low-dimensional metric embeddings with little decay in performance, which offers the potential to quickly retrain for a variety of transfer tasks. The low-dimensional representations offer added potential to significantly reduce training and storage overhead when performing retrains or transferring to additional downstream tasks. © 2022 CEUR-WS. All rights reserved.</t>
  </si>
  <si>
    <t>Small and medium-sized enterprises (SMEs) face significant cybersecurity challenges due to resource constraints and knowledge deficiencies. This study identifies key gaps in cybersecurity practices and introduces the enhanced ROHAN model- tailored to deliver targeted, industry-specific education and intervention. Integrated with the Cyber Guardian Framework (CGF), the model promotes resilience across organisational, technologies, and human awareness domains. A mixed-methods approach reinforcing industry 5.0 principles. The combined frameworks offer a scalable roadmap to bridge cybersecurity knowledge gaps and build adaptive, cyber-aware SMEs. © 2025 IEEE.</t>
  </si>
  <si>
    <t>During the last decades, Dark Web content has risen in necessity in an increasingly connected world, where international anonymous networks provide access to data marketplaces and illicit multimedia material through the TOR or I2P networks. The motivation behind this paper is to gauge the current state and growth of the Dark Web in relation to the role it plays with special focus on Small and Medium-sized Enterprises (SMEs and MEs). More specifically, we devise Machine Learning and specialised Information Retrieval techniques to extract insights and investigate how the Dark Web enables cybercrime, maintains marketplaces with breached enterprise data collections and pawned email accounts. The research questions that we address concern: a) the role that the Dark Web plays for SMEs, MEs, and society in general</t>
  </si>
  <si>
    <t>Cybersecurity has been a volatile and growing issue in using the Internet for business, communications, marketing, and social presence, for over 30 years, requiring constant alert protection from cyber-attacks. That is why it is important for all our systems to develop and implement good monitoring tools, which can detect data breaches and other forms of cyber-attacks from threat actors in near real time. Adversaries attack mostly from the Dark Web because it is the only web layer where users can act anonymously. However not all Distributed Denial of Service (DDoS), ransomware, botnet, and other attack types are performed through the Dark Web. That is why we need a monitoring system, which can detect all attack types from various online locations. In this paper we present a simple experimental approach with the use of appropriate Machine Learning (ML) techniques to detect attacks from network packets, which are grabbed via NetworkMiner. We used the Weka Framework to perform our monitoring actions in near real time. The authors deliberately chose the Weka Framework, a freeware tool with ML techniques to detect anomalies, which can be used by Small and Medium Enterprises (SMEs) quite efficiently to monitor illegal activities. NetworkMiner can also be used as freeware, but if an SME needs more details about network packets, then it costs almost $US1000. These two tools can be combined to provide an efficient low-cost entry level way to monitor a network system as the SME migrates towards the “near real-time detection” state where. © The Author(s), under exclusive license to Springer Nature Switzerland AG 2025.</t>
  </si>
  <si>
    <t>This paper outlines the PALANTIR framework to assist small (SME) and micro enterprises (ME) with a holistic approach towards securing their infrastructure. The platform will deliver a Risk Assessment platform enabling informed decisions related to cybersecurity investment. As highlighted through the described use-case, the PALANTIR will protect the infrastructure and resources with Threat Intelligence as advanced AI Models exploiting threat sharing, are delivered in SecaaS mode. The Remediation Engine will deliver a tailored solution enabling each owner of the SME/ME to design a policy best fitted to their values and requirements. Overall, the Cloud SecaaS deployment of PALANTIR will provide SMEs/MEs with a cost-efficient mechanism to achieve and maintain adequate levels of protection. © 2021 IEEE.</t>
  </si>
  <si>
    <t>Artificial Intelligence and Digital Twin technology are coming together to revolutionize predictive maintenance in smart manufacturing. Digital twins, virtual representations of physical assets enhanced with AI algorithms, not only offer continuous monitoring, but also offers data-enabled diagnostics, and forecast an asset's failure with precision before it occurs. This review provides an insight into the applications of AI-enabled digital twins for predictive maintenance in different industrial contexts. It explores important characteristics of digital twin architecture, the usage of machine learning in fault detection and prognosis, and presents specific cases in industries. Though these systems present significant opportunities including reducing downtime and improving asset performance, many challenges still remain. These challenges include: an industry-wide framework</t>
  </si>
  <si>
    <t>The article examines the development and diffusion of digital technologies in Ukraine and the EU, and their impact on society and the economy. It highlights the rapid growth and adoption of digital solutions and underlines Ukraine’s significant potential for further progress in this area. Key benefits of digital technologies for businesses include market forecasting, process automation, asset monitoring, cost reduction, improved product and service quality, and remote support. However, these benefits are accompanied by risks, such as potential job losses, cybersecurity and privacy threats, and data and human resource quality issues, especially in small and medium-sized enterprises (SMEs). To assess the readiness of Ukrainian SMEs to adopt digital technologies and identify challenges, a survey was conducted. To increase the efficiency of digital transformation, the article proposes the creation of an innovation ecosystem that integrates the interests of all stakeholders. The Digital Innovation Hub model based on the Igor Sikorsky Kyiv Polytechnic Institute is presented as a successful example demonstrating effective collaboration between researchers, educational institutions, SMEs and international partners. This model helps to estimate resource costs and time, minimise development and implementation risks, and respond to customer needs. The systematic approach to combining science, education and business through digital technologies aims to enhance human potential and address economic and socio-economic issues. An increased focus on local digital innovation hubs will help build a national innovation ecosystem and enhance the competitiveness of the country’s digital technology sector. © 2024 Copyright for this paper by its authors.</t>
  </si>
  <si>
    <t>As cyber threats rise against Small and Medium Enterprises (SMEs) they find themselves unable to afford specialized Security Operations Centers (SOCs). The study introduces a conceptual framework for a collaborative SOC model which empowers SMEs to fulfill regulatory requirements such as the NIS2 Directive and simultaneously reduce cyber risks and optimize security expenditures. The proposed framework consists of a multi-tenant architecture centralized for continuous threat detection and incident response which supports regulatory requirements and addresses data privacy and scalability issues. The model enables enterprises to access advanced cybersecurity functionalities through shared resources and collaborative efforts. While this work remains conceptual, it lays the theoretical groundwork for future empirical validation through real-world pilot testing. The research examines the theoretical framework of shared SOC models and highlights their benefits while preparing for upcoming implementation and evaluation processes. © The Author(s), under exclusive license to Springer Nature Switzerland AG 2025.</t>
  </si>
  <si>
    <t>Economic aspects of Industry 4.0 marketing technologies implementation in the agricultural sector of Ukraine,</t>
  </si>
  <si>
    <t>The study aimed to assess the impact of Industry 4.0 marketing technologies on the efficiency of business processes in the agro-industrial complex of Ukraine in the current market conditions. The study established that Industry 4.0, as a new stage of technological development, radically changes traditional methods of production, business and management by integrating digital technologies with physical processes. With the use of big data, artificial intelligence, and machine learning, agricultural businesses can create accurate customer profiles, develop personalised marketing campaigns, and automate routine tasks such as audience segmentation and forecasting market changes. The study also addressed the impact of the Internet of Things, social media and digital platforms on customer engagement and supply chain management. Innovations in e-commerce and the use of augmented and virtual reality also substantially improve the marketing efficiency of agricultural enterprises. The impact of the war in Ukraine on the introduction of digital technologies in the farming sector was emphasised. While investment in digitalisation declined during the conflict, the war also stimulated the search for innovative solutions, such as the use of drones to monitor fields and technology to improve cybersecurity. The impact of the war on consumer habits and priorities has also necessitated rapid adaptation of marketing strategies. Based on the study, which included a survey of 727 enterprises, the level of adoption of Industry 4.0 technologies among large, medium and small enterprises, as well as their plans for further implementation, was determined. The results showed that large enterprises are leading the way in adopting new technologies such as data analytics and artificial intelligence, while small and medium enterprises are just beginning to implement these solutions. © The Author(s).</t>
  </si>
  <si>
    <t>Small and Medium Enterprises (SMEs) are struggling to manage cyberattacks, particularly against ransomware with data exfiltration capabilities. They often resort to paying the ransom in the hope of recovering their data, which indicates a reactive rather than proactive approach to cybersecurity. This study aims to address the problem through the development of a machine learning-based system for the detection of data exfiltration. By analysing real malware samples, the machine learning model together with feature selection methods and learning algorithms will accurately predict whether an instance of malware would exfiltrate data. Several state-of-the-art models were evaluated and out of these, the Random Forest model using an Embedded Method was the outright winner. © 2025 IEEE.</t>
  </si>
  <si>
    <t>The increasing sophistication of cyber risks has made it challenging for organizations to assess their business impacts. The key challenge is the technical and language “barrier” between cybersecurity teams and business teams who make strategic investment decisions on cybersecurity. This often leads to delays, budget issues that prevent timely responses to cyber incidents. Existing research lacks a transparent, traceable, and reproducible method to communicate cyber risks and their impacts on businesses. We introduce a novel cyber risk economics model for organization-wide risk management (CYREM-ORM) that captures complex cyber risks and expresses them using financial terms. This is achieved by mapping Cyber Threat Intelligence (CTI) to the Factor Analysis of Information Risk (FAIR) model, enriched by cyber cost typologies. CYREM-ORM provides a traceable workflow that links organisation-related CTI to FAIR factor estimation, cost breakdowns, and ultimately to monetary loss amounts and prioritised risk scenarios. This design improves transparency in risk management, helps organisations prioritise mitigations in line with strategic business objectives, and enables stakeholders to assess the rationale behind results when needed. By grounding risk parameters in CTI, the model also facilitates proactive screening of organisation-relevant threats, instead of reactive, control-gap reporting. We evaluate the CYREM-ORM through three complementary case studies: the 2017 Equifax breach case proves its feasibility with historical data and open-source CTI, while the Small and Medium Enterprise (SME) education company and the large retail company cases show its effectiveness in communicating cyber risks at an organizational-wide strategic level within real-world contexts. © 2026</t>
  </si>
  <si>
    <t>The study objective was to formulate the impact of digital technologies, namely RFID, IOT, blockchain technology, artificial intelligence, and cybersecurity on the supply chain transparency of manufacturing SMEs. The study also tested the moderating effect of decision support system. For this purpose, quantitative cross-sectional data were collected from 305 manufacturing SMEs using a convenient sampling technique. SPSS was used for both of demographic and regression analysis. Multiple regression analysis results show that all digital technologies positively and significantly affect supply chain transparency. The moderating effect also shows that the decision support system positively strengthens the relationship between digital technologies and supply chain transparency. The study with findings contributes to the literature by confirming that digital technologies significantly enhance supply chain transparency in manufacturing SMEs. It further contributes by highlighting the moderating role of decision support systems, which strengthens the impact of these technologies. These contributions guide SME managers and policymakers to invest in integrated digital solutions for improving supply chain visibility and performance. Limitations and future directions were also discussed at the end. © 2025 Regional Association for Security and crisis management. All rights reserved.</t>
  </si>
  <si>
    <t>Purpose – This paper aims to present a digital maturity model for intelligent automation, specifically designed for small and medium-sized accounting firms. Intelligent automation facilitates the execution of complex accounting tasks, leading to notable improvements in operational efficiency, client satisfaction and employee engagement. Despite these benefits, smaller firms often face challenges in adopting automation due to constrained resources and limited expertise. The proposed maturity model supports firms in evaluating their current level of digital advancement and provides a structured pathway for progressing towards more sophisticated automation capabilities. Design/methodology/approach – The model was developed following a design science-based procedure model. The development began with a systematic literature review. Subsequently, the model was refined on the basis of feedback from 15 expert interviews conducted in Finland. Finally, it was evaluated in three accounting firms. Findings – The final digital maturity model encompasses 11 dimensions. Four of the dimensions are typical for digital maturity models: technology, processes, vision and leadership and data and cybersecurity. The remaining dimensions are tailored to accounting firms: role of the accountant, sales to cash, purchase to pay, payments, general ledger, reporting and customer communication and payroll. Each dimension is scaled across five levels: non-existent, initial, proficient, advanced and continuous improvement. Originality/value – The developed digital maturity model advances the limited academic literature on digital maturity models in accounting, demonstrates the application of intelligent automation within accounting firms and serves as a practical tool to support these firms in their automation efforts. © 2025 Heli Kortesalmi</t>
  </si>
  <si>
    <t>In recent decades, the number of internet users has grown rapidly, leading to an increase in the number of cybercriminal activities. As a result, the research community has presented many cybersecurity studies to predict and prevent these activities from occurring. Cybersecurity is a crucial defence mechanism that safeguards digital assets, data, and online interactions, playing an indispensable role in maintaining the integrity, confidentiality, and availability of information in today's interconnected world. However, based on our comprehensive research, a noticeable gap was highlighted, indicating limited studies that specifically address Small and Medium Enterprises (SMEs), with a pronounced scarcity in the South African context. Predominantly, existing research has focused on the implementation of cybersecurity analytics for larger corporations. Therefore, this article is an exploration of cybersecurity analytics for small businesses in South Africa. It aims to enrich the current understanding of security analytics in SMEs by highlighting use cases, security issues involved, and what areas of research still need further exploration. These issues are then categorised and discussed to put into context how machine learning-driven security analytics can be used in SMEs to take proactive measures against cyber threats so that they protect their systems, networks, and digital assets. © 2023 IEEE.</t>
  </si>
  <si>
    <t>Cyber threats targeting small and medium enterprises (SMEs) are rising, with weaponized PDF files as prime attack vectors. However, many advanced malicious PDF detection solutions are unfeasible for resource-constrained SMEs. This paper proposes SafeDocs, an automated framework leveraging machine learning to identify malicious PDFs designed specifically for SMEs. SafeDocs analyzes the structural metadata of PDFs using a well-known Random Forest model to classify malicious files. It provides SMEs with an effective and usable solution to counter evolving PDF threats. Experiments demonstrate SafeDocs achieving over 98% accuracy in detecting thousands of malicious PDF samples. A prototype is implemented, and guidelines are provided for seamless integration within typical SME IT infrastructure. Overall, SafeDocs offers SMEs a robust defense against malicious PDFs within their constraints. © 2023 IEEE.</t>
  </si>
  <si>
    <t>Artificial intelligence (AI) is increasingly integrated into cybersecurity tools to improve threat detection, anomaly identification, and incident response. However, organisations, particularly small- and medium-sized enterprises (SMEs), often struggle to discover, evaluate, and effectively use AI-enabled cybersecurity solutions due to skills gaps, usability challenges, and fragmented tool ecosystems. This paper presents the advaNced cybErsecurity awaReness ecOsystem for SMEs (NERO), a human-centric cybersecurity ecosystem that combines a cybersecurity marketplace with a competency-based training and awareness platform to support the practical adoption of advanced cybersecurity technologies. The NERO Marketplace enables structured discovery, comparison, and assessment of cybersecurity tools based on usability, operational relevance, and competency alignment. Complementing this, the NERO Training Platform delivers modular, multi-modal training aligned with the European Cybersecurity Skills Framework (ECSF) to develop the human competencies required to operate advanced cybersecurity systems. This study contributes a socio-technical framework that addresses the gap between AI tool availability and organisational readiness through ECSF role-based competency mapping and iterative design-based evaluation. The platform targets technical roles like Cybersecurity Implementer to ensure training is aligned with the operational requirements of critical infrastructure protection. Results from cross-sector SME training activities show measurable improvements in cybersecurity awareness, knowledge, and user satisfaction, with knowledge gains exceeding 30% in some modules. Finally, the paper provides a structural mapping of these cross-sectoral results to the maritime defence domain, specifically addressing legacy OT systems and intermittent connectivity constraints. © 2026 by the authors.</t>
  </si>
  <si>
    <t>The growing reliance of enterprises on internal and information systems has led to an increased risk of cyber attacks, which pose serious threats to the confidentiality, integrity and availability of data. Intrusion Detection Systems (IDS) are essential for identifying malicious activities</t>
  </si>
  <si>
    <t>The automotive-mobility sector is undergoing rapid change, driven by digitalisation, sustainability, new business models, and supply chain resilience needs. The TRIREME [1] project addresses these shifts through continuous skills intelligence, workshops, and surveys. This paper presents findings from 2024, combining desk research, expert workshops, and a survey of 105 stakeholders. Results show high awareness of key trends and drivers of change (both called trends within the TRIREME project) like Artificial Intelligence (AI) and Machine Learning (ML), electromobility, and circular economy, but readiness gaps persist, especially in cybersecurity, data analytics, and supply chain sustainability. The sector faces significant impacts on job roles and skills, with increasing demand for AI specialists, green transformation experts, and advanced logistics professionals. However, training availability remains inconsistent, particularly for SMEs. The project highlights the need for flexible learning pathways and stronger industry-education collaboration. Future work will expand trend monitoring, validate competence frameworks through pilots, and explore AI-based foresight tools to enhance workforce adaptability and sector competitiveness. © The Author(s), under exclusive license to Springer Nature Switzerland AG 2026.</t>
  </si>
  <si>
    <t>In recent years, with the complexity of the network environment, network attacks occur frequently, and information security is facing serious threats such as intrusion, leakage and abuse, and effective means of protection are urgently needed. As an important tool, network intrusion detection system can effectively identify potential threats by analyzing network traffic data. In this paper, based on datadriven machine learning techniques, this paper takes the open source datasets UNSW-NB15 as the research object, and use principal component analysis (PCA) to extract the first 12 principal components, and filter out the data including sttl, synack, ct-dst-src-ltm, smean, ct-srv-dst, sload, rate, sbytes, and ct-state-Ttl among other key features. Based on these features, decision tree and random forest models are constructed, and the experimental results show that the decision tree model optimizes the classification accuracy and efficiency by constructing the classification rules recursively, with an accuracy of 92.45 %, while the random forest model further improves the performance by integrating the learning, with an accuracy of 97.67 %. The research in this paper not only improves the prediction accuracy and reduces the misclassification rate, but also solves the problem of opacity and trust of the traditional intrusion detection system, which provides more reliable technical support for network security protection. © 2025 IEEE.</t>
  </si>
  <si>
    <t>This monograph explores the impact of cutting-edge technologies in various sectors such as education, industry, and communication. It focuses on emerging applications of artificial intelligence, educational robotics, augmented reality (AR), cybersecurity, the metaverse, and technologies for sustainability. Artificial intelligence is transforming fields like graphic design and audiovisual creation, while augmented reality offers new ways of learning and interaction in education and marketing. Educational robotics promotes technological skills in students, and cybersecurity is essential for protecting data systems, especially in SMEs. The metaverse and its impact on the digital experience are also discussed, as well as the use of technologies for sustainability, such as optimizing water consumption and promoting sustainable mobility. The monograph invites reflection on how these innovations are changing society and improving efficiency across various fields. © 2024, HISIN (History of Information Systems). All rights reserved.</t>
  </si>
  <si>
    <t>Cloud computing emerges as a transformative force in the digital landscape, reshaping the operational efficiency, agility, and competitive advantage for Small and Medium-sized Enterprises (SMEs), marking a pivotal shift in business dynamics. This paper provides a comprehensive analysis of the transformative impact of cloud computing on Small and Medium-sized Enterprises (SMEs), highlighting its role as a catalyst for improved operational efficiency, agility, and competitive advantage in today's digital landscape. Through a qualitative and theoretical exploration of cloud computing adoption, the key benefits of scalability, flexibility, and cost-effectiveness that cloud services provide to SMEs are highlighted. Major cloud service models-Software as a Service (SaaS), Platform as a Service (PaaS), and Infrastructure as a Service (laaS)-are explored to demonstrate their alignment with the diverse needs of SMEs, enabling them to overcome challenges related to limited capital and the need for rapid market responsiveness. Additionally, the paper delves into the intersection of cloud computing with emerging trends and technologies such as edge computing, serverless architectures, multi-cloud strategies, artificial intelligence (AI), and the Internet of Things (IoT), underscoring their potential to drive innovation and create value within the SME sector. Furthermore, it addresses the critical aspects of cybersecurity and compliance in the cloud, emphasizing the significance of robust security measures, data protection, and regulatory adherence in fostering a secure and compliant digital ecosystem for SMEs. The paper concludes by advocating for the strategic adoption of cloud computing as a key factor in achieving sustainable growth and a competitive edge for SMEs, paving the way for future research on the long-term impacts and industry-specific challenges of cloud computing adoption. © 2024 IEEE.</t>
  </si>
  <si>
    <t>The adoption of artificial intelligence (AI) in small and medium-sized enterprises (SMBs) has emerged as a key strategy for improving quality management. This article discusses the main benefits and challenges of implementing AI in this context. A systematic review of the academic literature and relevant business reports was carried out, in order to collect and analyze empirical evidence on the application of AI in the quality management of SMEs, obtaining as results that the main benefits of the implementation of AI in the quality management of SMEs include: Improved data-driven decision-making, process automation and error reduction, early detection of quality issues, customization of products and services, and resource optimization and cost reduction. On the other hand, the main challenges were: Lack of knowledge and skills in AI, high implementation costs, concerns about data security and privacy, resistance to cultural change, and integration of AI with existing systems and processes, concluding that the implementation of AI in SMB quality management offers significant benefits, but it also entails challenges that must be addressed strategically. SMEs that manage to overcome these challenges will be able to take advantage of the competitive advantages offered by AI, improving their efficiency, quality and adaptability in an increasingly dynamic business environment. © 2026, Dr. Yashwant Research Labs Pvt. Ltd. All rights reserved.</t>
  </si>
  <si>
    <t xml:space="preserve">Cyber security is continually updated in order to keep up with the fast advancement of technology in a world that is always evolving. In light of the understanding that existing data risk-Assessment frameworks could offer an effective defense for small and medium-sized organizations (SMEs), particularly those that are actively embracing new technologies, this research was driven by the realization. This paper found that a dynamic investigation for managing information technology risks, which is updated to reflect evolving technical advancements, would provide companies that are classified as small and mediums with enhanced security privacy. Due to the fact that this, Because of their high degree of abstractness, ambiguous standards, and inability to adapt to technological changes, existing frameworks like as NIST need to be better matched to the specific requirements of the outcomes of this study indicate that small and medium-sized businesses (SMEs) are the focus of attention. Each perspective is broken down into the following categories: threats, behaviours, practices, awareness, and decision-making. This empirical research evaluates cybersecurity risks in small and medium-sized enterprises (SMEs). The findings suggest that there is an immediate need to create strategies for managing cyber security threats, in particular by using cutting-edge approaches such as system dynamics, machine learning, and socio-economic and socio-technological models. Solutions must be developed quickly where these unique methods may provide a more dynamic, responsive, and comprehensive risk management plan. SMEs' IT security is considerably enhanced by this step. SDT, short for </t>
  </si>
  <si>
    <t>Self-Determination Theory,</t>
  </si>
  <si>
    <t>is one of the most effective ways to increase defenses and minimize risk assessment duty. This research shows that cyber security risk assessment methods must be adaptable, dynamic, and guided by technological advances. These approaches provide a more realistic approach to IT management and cyber security assessment. Within the scope of the research, five significant perspectives were identified, each of which plays an essential part in managing cybersecurity risk for small and medium-sized businesses (SMEs). © 2026 Author(s).</t>
  </si>
  <si>
    <t>The integration of Artificial Intelligence (AI) within Small and Medium Enterprises (SMEs) in auto-component clusters presents a significant opportunity for enhancing operational efficiency, product quality, and decision-making capabilities. However, the transition to AI-driven processes introduces inherent risks related to financial investment, workforce adaptability, cybersecurity vulnerabilities, and process disruptions. To systematically assess and mitigate these risks, this paper proposes a novel Fuzzy Petri-Net (FPN)-based risk assessment model. The model effectively captures the uncertainties associated with AI adoption by integrating fuzzy logic to quantify imprecise risk factors and employing Petri Nets to model the interdependencies among various risk components. The methodology involves defining risk factors, assigning fuzzy membership values, constructing a Petri Net representation, and executing dynamic risk propagation analysis. The proposed approach is validated through a case study on SME auto-component clusters, demonstrating its effectiveness in identifying high-risk areas and providing structured decision-making insights. Comparative analysis with traditional risk assessment models highlights the advantages of the FPN framework in terms of adaptability, uncertainty handling, and practical applicability. The findings suggest that the proposed model can serve as a reliable decision-support tool, aiding SMEs in developing strategic AI implementation roadmaps while minimizing potential risks. Future research will focus on real-time risk assessment enhancements and adaptive learning-based optimizations.  © 2025 IEEE.</t>
  </si>
  <si>
    <t>Driven by advancements in big data and IoT technologies, the accounting industry is transitioning to a “cloud computing + accounting” model. Cloud computing delivers value in cost reduction, operational efficiency, and decision-making support for accounting practices, with cloud-based accounting adoption rates among Chinese SMEs showing significant growth. However, cloud accounting data faces multiple cybersecurity risks throughout the entire process, including compromised confidentiality and authenticity of accounting information, vulnerabilities in internal controls, threats from cyberattacks and system failures, as well as compliance challenges stemming from outdated regulatory standards. Data breach incidents continue to rise. To address these issues, this paper establishes a three-dimensional control framework comprising “technical defense, management protocols, and institutional safeguards,” proposing targeted measures at the technical, managerial, and regulatory levels. Future efforts should focus on promoting the application of emerging technologies to achieve dynamic defense mechanisms and secure development of cloud-based accounting systems, thereby providing actionable references for enterprise accounting digital transformation. ©2025 IEEE.</t>
  </si>
  <si>
    <t>This manuscript explores the adoption of AI-based e-commerce by Taiwanese SMEs and its impact on marketing performance expectancy. Taiwanese SMEs are vital to the economy, representing 98 % of businesses and contributing significantly to GDP. To remain competitive, these SMEs are increasingly adopting AI-driven e-commerce strategies, supported by Taiwan's advanced digital infrastructure and government initiatives like “Smart Taiwan 2025.” However, challenges such as logistics costs, technology integration, and cybersecurity remain obstacles to full adoption. The study utilizes the Technology-Organization-Environment (TOE) framework to examine the factors that influence AI adoption among Taiwanese SMEs. The research focuses on AI acceptance, online marketing capability, innovation culture, and external pressures such as competition and business partner demands. A structured questionnaire was used to gather data from 206 SMEs, and the analysis was conducted using Partial Least Squares Structural Equation Modeling (PLS-SEM). The results indicate that AI acceptance and online marketing capabilities are significant drivers of AI adoption. Additionally, innovation culture is critical in promoting an environment conducive to adopting AI technologies. Competitive pressures and business partner demands were also identified as major factors influencing adoption, with business partner pressures being the most influential. SMEs that rely on partners for access to AI tools or data are more likely to integrate AI into their operations. © 2024</t>
  </si>
  <si>
    <t>The transition to Industry 4.0 has revolutionized industrial processes by integrating advanced digital technologies such as cyber-physical systems (CPS), the Internet of Things (IoT), artificial intelligence (AI), big data analytics, and cloud computing. In this research, we explore the impact of these emerging and enabling technologies on vertical integration within digital substations, with a particular focus on small and medium-sized enterprises (SMEs). SMEs face significant challenges in adopting Industry 4.0, including financial constraints, outdated infrastructure, and a lack of specialized expertise. To address these challenges, this study presents a case of vertical integration in a digital substation, demonstrating how intelligent electronic devices (IEDs) and standardized communication protocols, particularly IEC 61850 and Modbus TCP, enable interoperable data exchange, real-time monitoring, and predictive analytics. Results from a controlled laboratory environment demonstrate a 40 % reduction in manual interventions, a 75 % improvement in fault detection time, and a 15 % increase in energy efficiency. These results underscore the importance of adopting scalable, cost-effective solutions tailored for SMEs. Future work should explore AI-driven automation, enhanced cybersecurity measures, and long-term economic viability assessments to support the broader adoption of Industry 4. 0 in industrial environments.  © 2025 IEEE.</t>
  </si>
  <si>
    <t>The article examines modern approaches to energy management in the context of the development of Industry 5.0 with a particular focus on cybersecurity. Key tenets of Industry 5.0 are discussed, including the integration of advanced technologies with intelligent energy management systems (IEMSs) and the growing need to protect data in the face of increasing cyber threats. The challenges faced by small and medium-sized enterprises (SMEs) using solutions based on renewable energy sources, such as photovoltaic farms, are also analyzed. The article presents examples of IEMS applications and discusses methods for securing these systems, offering an overview of cyber threat protection tools in the context of modern energy management. The analysis carried out provided information that will help businesses make rational decisions and contribute to shaping the state’s macroeconomic policy on cybersecurity and energy savings. The results of this research can also help develop more effective strategies for managing technology and IT infrastructure, which is crucial in the digital age of Industry 5.0. © 2024 by the authors.</t>
  </si>
  <si>
    <t>Traditional cyber risk assessment methodologies face a critical dilemma: they are either quantitative yet static and context-agnostic (e.g., CVSS), or context-aware yet highly labor-intensive and subjective (e.g., NIST SP 800-30). Consequently, organizations struggle to scale risk assessment to match the pace of evolving threats. This paper presents an automated, context-aware risk assessment framework that leverages the reasoning capabilities of publicly available Large Language Models (LLMs) to operationalize expert knowledge. Rather than positioning the LLM as the final decision-maker, the framework decouples semantic interpretation from risk scoring authority through a transparent, deterministic Dynamic Metric Engine. Unlike complex closed box machine learning models, our approach anchors the AI's reasoning to this expert-validated metric schema, with weights derived using the Rank Order Centroid (ROC) method from a survey of 101 cybersecurity professionals. We evaluated the framework through a comparative study involving 15 diverse real-world vulnerability scenarios (C1-C15) and three supplementary sensitivity stress tests (C16-C18). The validation scenarios were independently assessed by a cohort of ten senior human experts and two state-of-the-art LLM agents (GPT-4o and Gemini 2.0 Flash). The results show that the LLM-driven agents achieve scoring consistency closely aligned with the human median (Pearson r ranging from 0.9390 to 0.9717, Spearman ρ from 0.8472 to 0.9276) against a highly reliable expert baseline (Cronbach's α =0.996), while reducing the assessment cycle time by more than 100× (averaging under 4 seconds per case vs. a human average of 6 minutes). Furthermore, a dedicated context sensitivity analysis (C13-C15) indicates that the framework adapts risk scores based on organizational context (e.g., SME vs. Critical Infrastructure) for identical technical vulnerabilities. Importantly, the system is designed not merely to replicate expert intuition, but to enforce bounded, policy-consistent risk evaluation under predefined governance constraints. Overall, these findings suggest that commercially available LLMs, when constrained by expert-validated metric schemas, can support reproducible, transparent, and real-time risk assessments.  © 2013 IEEE.</t>
  </si>
  <si>
    <t>There is no doubt that modern technologies such as Artificial Intelligence (AI) are no longer an illusion within our society. These technologies have made a dramatic transition from being a futuristic concept to becoming an integral component of daily life, influencing how individuals interact, exchange information, and conduct business operations. Notably, there is no field or specific ecosystem that is exempt from this change</t>
  </si>
  <si>
    <t>Over 25 million Small and Medium Enterprises (SMEs) in Europe face multiple challenges related to personal data protection (PDP), ranging from awareness of EU's General Data Protection Regulation (GDPR) to a clear and practical roadmap to compliance. Many also cannot afford access to enterprise-grade cybersecurity technology. This paper presents the main objectives and innovations of the EU-funded SENTINEL project, which introduces the concept of Intelligence for Compliance</t>
  </si>
  <si>
    <t>Cyber security has made an impact and has challenged Small and Medium Enterprises (SMEs) in their approaches towards how they protect and secure data. With an increase in more wired and wireless connections and devices on SME networks, unpredictable malicious activities and interruptions have risen. Finding the harmony between the advancement of technology and costs has always been a balancing act particularly in convincing the finance directors of these SMEs to invest in capital towards their IT infrastructure. This paper looks at various devices that currently are in the market to detect intrusions and look at how these devices handle prevention strategies for SMEs in their working environment both at home and in the office, in terms of their credibility in handling zero-day attacks against the costs of achieving so. The experiment was set up during the 2020 pandemic referred to as COVID-19 when the world experienced an unprecedented event of large scale. The operational working environment of SMEs reflected the context when the UK went into lockdown. Pre-pandemic would have seen this experiment take full control within an operational office environment</t>
  </si>
  <si>
    <t>Small enterprises experience extremely tough times while trying to adopt newest computer technology because of inadequate financial means, technical competencies and expansion opportunities. This research proposes an integrated system utilizing blockchain, cloud computing and big data that will assist such small companies in their digitalization. The system addresses prime concerns such as ensuring data security, establishing trust among actors, achieving scalability at low costs and enabling better decision making. With blockchain the system ensures proper tracking of information and automated transaction through smart contracts, while cloud computing ensures flexible access to computing and big data processing enables handling of large volumes of information. The system is designed in a way where smaller companies can add pieces as needed and expand gradually as they become larger. Testing indicates substantial improvements in data security, cost reduction and decision accuracy compared to traditional business practices. The blockchain element creates unalterable records of transactions and enforces obedience with defined rules, while the cloud based analytical software offers instantaneous monitoring and predictive analysis. Overall, the suggested system provides a secure, scalable and intelligent technological platform that enables small businesses to achieve digital transformation effectively and at a reasonable cost. © 2025 IEEE.</t>
  </si>
  <si>
    <t>Drawing on social capital theory, this study explores the antecedents of AI readiness in Small and Medium-sized Enterprises (SMEs) operating in resource-constrained environments, emphasising capabilities that mitigate cyber risks, and foster value construction in SMEs. Specifically, the study examines how structural, cognitive, and relational social capital fosters cyber resilience and contributes to proactive value construction, enhancing SMEs’ AI readiness and enabling them to construct and sustain value while safeguarding against potential cyber threats. The study adopts a Covariance-based Structural Equation Modelling (CB-SEM) approach to analyse 589 valid responses. A multi-wave data strategy with an interval cross-lagged design was implemented to reduce the risk of common method bias. The findings reveal that structural and relational capital significantly drive AI readiness, while cognitive social capital enhances cyber resilience, which is pivotal in constructing and protecting organisational value. Moreover, cyber resilience mediates the relationship between cognitive social capital and AI readiness, and enabling value construction amid cyber-related disruptions. SMEs with robust social capital networks are better equipped to leverage AI technologies for innovation and growth, construct new value streams, and defend against cyber risks, securing value in dynamic digital environments. This study contributes to the growing discourse on cybersecurity and digital transformation by offering insights into how SMEs can bolster digital innovation and construct sustainable value in the face of mounting cyber risks. © The Author(s) 2025.</t>
  </si>
  <si>
    <t>Checked</t>
  </si>
  <si>
    <t>Download</t>
  </si>
  <si>
    <t>Yes</t>
  </si>
  <si>
    <t>Titel- und Abstract Screening</t>
  </si>
  <si>
    <t>Fulltext Screening</t>
  </si>
  <si>
    <t>Title</t>
  </si>
  <si>
    <t>European Union (2021) has set up a seven-year Digital Europe
programme to support the digital transformation of industry and to foster better
exploitation of key policy areas, namely: High Performance Computing (HPC);
Artificial Intelligence (AI); Cybersecurity and Trust; Advanced Digital Skills; and
Deployment and Best use of Digital Capabilities and Interoperability. In this
programme, European Digital Innovation Hubs (EDIHs) have a central role in the
implementation. These should stimulate the board adaptation of advanced digital
technologies by industry, small and medium-sized enterprises (SMEs) and midcaps, public sector, and academy. European Digital Innovation Hubs should serve
as an access point for the latest digital capabilities in those key policy areas, provide
access to test before invest infrastructure, promote open innovation and provide
support to advanced digital skills by offering short-term training.</t>
  </si>
  <si>
    <t>Supply chains are increasingly vulnerable to disruptions such as
geopolitical conflicts, natural disasters, and cyberattacks, with small and mediumsized enterprises (SMEs) in developing economies particularly affected due to
resource constraints. Narrow Artificial Intelligence (ANI), a specialised form of AI
designed for specific tasks, offers opportunities to enhance supply chain resilience
(SCR) through predictive analytics, greater agility, and faster recovery. However,
significant gaps persist in understanding ANI adoption in relation to government
support mechanisms, labour market dynamics, and cybersecurity challenges. This
scoping review aims to map and synthesise evidence on ANI's role in strengthening
SCR among SMEs in developing countries, and to examine its contributions to
agility, adaptability, transparency, and sustainable practices aligned with the Industry
5.0 transition. Following the JBI methodology and PRISMA-ScR guidelines, and
employing the Population, Concept, and Context (PCC) framework, the review
includes qualitative, quantitative, and mixed-methods studies. Searches will span
seven major databases and grey literature sources, and two independent reviewers
will conduct screening, data extraction, and thematic synthesis using Rayyan. The
findings will identify trends, opportunities, and knowledge gaps to inform research
agendas, policy development, and practical strategies for building resilient supply
chains in emerging markets.</t>
  </si>
  <si>
    <t>Authors</t>
  </si>
  <si>
    <t>Jakobsson, Antti;</t>
  </si>
  <si>
    <t>Oo, Htet Htet; Torres, Miguel Matos; Abdallah, Celine; Coelho,
Ricardo Limongi França; Costa, Murilo Marques; Hourneaux Junior, Flávio; Cardoso,
Flávio Manoel Coelho Borges; Sousa, Marcos de Moraes;</t>
  </si>
  <si>
    <t>Jaleel, Uruj; Lalmawipuii, R.;</t>
  </si>
  <si>
    <t>Cyber security is continually updated in order to keep up with the fast
advancement of technology in a world that is always evolving. In light of the
understanding that existing data risk-Assessment frameworks could offer an effective
defense for small and medium-sized organizations (SMEs), particularly those that
are actively embracing new technologies, this research was driven by the realization.
This paper found that a dynamic investigation for managing information technology
risks, which is updated to reflect evolving technical advancements, would provide
companies that are classified as small and mediums with enhanced security privacy.
Due to the fact that this, Because of their high degree of abstractness, ambiguous
standards, and inability to adapt to technological changes, existing frameworks like
as NIST need to be better matched to the specific requirements of the outcomes of
this study indicate that small and medium-sized businesses (SMEs) are the focus
of attention. Each perspective is broken down into the following categories: threats,
behaviours, practices, awareness, and decision-making. This empirical research
evaluates cybersecurity risks in small and medium-sized enterprises (SMEs). The
findings suggest that there is an immediate need to create strategies for managing
cyber security threats, in particular by using cutting-edge approaches such as system
dynamics, machine learning, and socio-economic and socio-technological models.
Solutions must be developed quickly where these unique methods may provide a
more dynamic, responsive, and comprehensive risk management plan. SMEs' IT
security is considerably enhanced by this step. SDT, short for "Self-Determination
Theory," is one of the most effective ways to increase defenses and minimize
risk assessment duty. This research shows that cyber security risk assessment
methods must be adaptable, dynamic, and guided by technological advances. These
approaches provide a more realistic approach to IT management and cyber security assessment. Within the scope of the research, five significant perspectives were
identified, each of which plays an essential part in managing cybersecurity risk for
small and medium-sized businesses (SMEs).</t>
  </si>
  <si>
    <t>Hu, Chao; Zhou, Tingfa; Zhou, Dongming; Chen, Jing;</t>
  </si>
  <si>
    <t xml:space="preserve"> Purpose: 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Design/methodology/approach: The authors
conduct a systematic review with a structured critical appraisal. For each technology–
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Findings: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Originality/value: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 </t>
  </si>
  <si>
    <t>Gahramanova, Fatima;</t>
  </si>
  <si>
    <t>The development of e-government and the digital economy in Azerbaijan
is the result of strategic reforms aimed at increasing transparency, improving
efficiency in management, and facilitating access to public services. Since the early
2000s, extensive programs have been implemented to digitize public administration
and apply information and communication technologies (ICT) in all areas. The
establishment of "ASAN Service" centers, the introduction of electronic signature
systems, and digital payment platforms have increased citizen satisfaction, reduced
bureaucratic barriers, and ensured the efficiency of public services. The "Digital
Economy Strategy 2022-2026" envisages the integration of artificial intelligence,
big data, and blockchain technologies into management and business processes.
This transition will allow for the reduction of oil dependence, the development of
startups, small and medium-sized enterprises (SMEs), and the formation of an
innovation ecosystem. At the same time, issues such as cybersecurity risks, digital
inequality between urban and rural areas, and increasing the digital skills of the
workforce remain relevant. Overall, Azerbaijan's digital transformation serves to
ensure sustainable socio-economic development and the goal of transforming the
country into a regional digital hub by 2030.</t>
  </si>
  <si>
    <t>Colomo‐Palacios, Ricardo; Messnarz, Richard; Biró, Miklós;</t>
  </si>
  <si>
    <t>This article focuses on the 31st Systems, Software and Services Process
Improvement (EuroSPI) Conference held in 2024 in Munich, Germany, highlighting
selected extended papers from the event. EuroSPI is a European initiative dedicated
to advancing Systems, Software, and Services Process Improvement (SPI) through
annual conferences, certification programs, and collaborations with industry alliances
such as the Automotive Skills Alliance (ASA). The special issue presents research
on topics including cybersecurity frameworks for small and medium-sized enterprises
(SMEs), data augmentation in software requirements engineering, eco-friendly
cloud-native microservices, automotive cybersecurity risk assessment, and AIdriven strategic intelligence management aligned with ISO 56006 standards.
These contributions reflect EuroSPI’s ongoing efforts to integrate innovation,
sustainability, and digital skills development across various technology sectors in
Europe.</t>
  </si>
  <si>
    <t xml:space="preserve"> Marino, Alfonso; Pariso, Paolo; Picariello, Michele;</t>
  </si>
  <si>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 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</si>
  <si>
    <t>Katehakis, Dimitrios; Filippidis, D.; Makridaki, M.; Dimitriadis, A.;
Kouroubali, A.; Karamanis, C.; Plexousakis, D.;</t>
  </si>
  <si>
    <t xml:space="preserve"> Background: The smartHEALTH European Digital Innovation Hub
(EDIH) is part of the European Commission's and EU Member States' initiative to
support the digital transformation of SMEs and public sector organizations (PSOs)
across Europe. Coordinated by the Institute of Computer Science at FORTH and
backed by a strategic network of research, academic, and private sector partners,
smartHEALTHaccelerates the adoption of cutting-edge digital technologies in
Greece's healthcare sector, with a strong commitment to safety, security, and trust.
Objectives: As a one-stop shop, smartHEALTH offers high-value services tailored
to the healthcare ecosystem, ensuring clinical safety, data integrity, and regulatory
compliance: • Test Before Invest: Offers SMEs and PSOs access to demonstration /
proof-of-concept, integration and testing / experimentation services using AI, HPC,
and Cybersecurity in a safe, validated environment. • Skills and Training: Delivers
targeted programs to healthcare professionals and public administrators covering
digital health safety, cyber hygiene, and ethical use AI use. • Access to Finance:
Helps organizations identify and access funding to support their digital innovation
plans. • Ecosystem Building: Strengthens collaborations among stakeholders to
develop secure, interoperable platforms and foster a culture of continuous safety and
innovation. Results: Since its launch in January 2023, smartHEALTH has (i) delivered
test-before-invest services to over 80 SMEs and PSOs; (ii) organized 22 training
sessions for 1,450þ participants; (iii) supported over 35 companies in accessing
funding opportunities; and (iv) participated in 50þ national and European networking
events. Conclusions: SmartHEALTH operates within the broader network of 200þ
EDIHs across Europe, contributing to Europe's ambition for a digitally resilient,
secure, and patient-centric healthcare system under initiatives like the European Health Data Space (EHDS). Key messages: • smartHEALTH empowers SMEs and
public sector organizations to digitally transform healthcare by providing access to
cutting-edge technologies, expertise, and innovation services under the European
Digital Innovation Hubs initiative. • Through its test-before-invest services, skills
development programmes, financing support, and ecosystem building, smartHEALTH
strengthens Europe's healthcare resilience, promoting safer, smarter, and more
patient-centric health systems. Topic: Digital Health Innovation, Healthcare Digital
Transformation, Artificial Intelligence.</t>
  </si>
  <si>
    <t xml:space="preserve"> Bajestani, Mahdi Sadeqi; Kim, Changjong; Lee, Kyung-Chang; Kim,
Duck Bong;</t>
  </si>
  <si>
    <t>The transition from Industry 4.0 to Industry 5.0 marks a paradigm shift
from technology-driven automation toward secure, resilient, and human-centric
manufacturing. While Industry 4.0 enhanced efficiency through cyber-physical
systems (CPS), the Internet of Things (IoT), and artificial intelligence (AI), it often
overlooks human involvement and introduces heightened cybersecurity risks.
Industry 5.0 seeks to overcome these limitations by emphasizing sustainability,
resilience, and human-centricity through collaboration between humans and
intelligent systems. As a step toward maturing the Industry 5.0 paradigm, we
propose the Self-X-based secure human-cyber-physical system (SSHCPS) as a
new conceptual framework for autonomous manufacturing. This study introduces
an original architecture that integrates Self-X capabilities, human-in-the-loop (HITL)
interaction, and cybersecurity (CS). The architecture is structured into four interlinked
modules: HITL, Digital Twin, Physical Twin, and CS. As the foundation of this
architecture, we categorized the Self-X terms from the literature, merged them into 23
Self-X principles, redefined them, and mapped them into the core values of Industry
5.0 and the SSHCPS modules. Furthermore, we demonstrate the applicability of
SSHCPS through potential applications such as lightless and de-urbanized factories,
humanoid-enabled SMEs, and the aerospace industry, while also identifying key
technical challenges and future direction. This study establishes SSHCPS as a
forward-looking foundation for secure, efficient, and human-centered autonomous
manufacturing systems in the Industry 5.0 era.</t>
  </si>
  <si>
    <t>Ilca, Lucian Florin; Lucian, Ogruţan Petre; Balan, Titus Constantin;</t>
  </si>
  <si>
    <t xml:space="preserve"> In this study, the methodology of cyber-resilience in small and mediumsized organizations (SMEs) is investigated, and a comprehensive solution utilizing
prescriptive malware analysis, detection and response using open-source solutions
is proposed for detecting new emerging threats. By leveraging open-source solutions
and software, a system specifically designed for SMEs with up to 250 employees
is developed, focusing on the detection of new threats. Through extensive testing
and validation, as well as efficient algorithms and techniques for anomaly detection,
safety, and security, the effectiveness of the approach in enhancing SMEs' cyberdefense capabilities and bolstering their overall cyber-resilience is demonstrated. The
findings highlight the practicality and scalability of utilizing open-source resources
to address the unique cybersecurity challenges faced by SMEs. The proposed
system combines advanced malware analysis techniques with real-time threat
intelligence feeds to identify and analyze malicious activities within SME networks.
By employing machine-learning algorithms and behavior-based analysis, the system
can effectively detect and classify sophisticated malware strains, including those
previously unseen. To evaluate the system's effectiveness, extensive testing and
validation were conducted using real-world datasets and scenarios. The results
demonstrate significant improvements in malware detection rates, with the system
successfully identifying emerging threats that traditional security measures often
miss. The proposed system represents a practical and scalable solution using
containerized applications that can be readily deployed by SMEs seeking to enhance
their cyber-defense capabilities.</t>
  </si>
  <si>
    <t>Rawindaran, Nisha; Jayal, Ambikesh; Prakash, Edmond; Hewage, Chaminda</t>
  </si>
  <si>
    <t>Cyber security has made an impact and has challenged Small and Medium Enterprises (SMEs) in their approaches towards how they protect and secure data. With an increase in more wired and wireless connections and devices on SME networks, unpredictable malicious activities and interruptions have risen. Finding the harmony between the advancement of technology and costs has always been a balancing act particularly in convincing the finance directors of these SMEs to invest in capital towards their IT infrastructure. This paper looks at various devices that currently are in the market to detect intrusions and look at how these devices handle prevention strategies for SMEs in their working environment both at home and in the office, in terms of their credibility in handling zero-day attacks against the costs of achieving so. The experiment was set up during the 2020 pandemic referred to as COVID-19 when the world experienced an unprecedented event of large scale. The operational working environment of SMEs reflected the context when the UK went into lockdown. Pre-pandemic would have seen this experiment take full control within an operational office environment; however, COVID-19 times has pushed us into a corner to evaluate every aspect of cybersecurity from the office and keeping the data safe within the home environment. The devices chosen for this experiment were OpenSource such as SNORT and pfSense to detect activities within the home environment, and Cisco, a commercial device, set up within an SME network. All three devices operated in a live environment within the SME network structure with employees being both at home and in the office. All three devices were observed from the rules they displayed, their costs and machine learning techniques integrated within them. The results revealed these aspects to be important in how they identified zero-day attacks. The findings showed that OpenSource devices whilst free to download, required a high level of expertise in personnel to implement and embed machine learning rules into the business solution even for staff working from home. However, when using Cisco, the price reflected the buy-in into this expertise and Cisco's mainframe network, to give up-to-date information on cyber-attacks. The requirements of the UK General Data Protection Regulations Act (GDPR) were also acknowledged as part of the broader framework of the study. Machine learning techniques such as anomaly-based intrusions did show better detection through a commercially subscription-based model for support from Cisco compared to that of the OpenSource model which required internal expertise in machine learning. A cost model was used to compare the outcome of SMEs' decision making, in getting the right framework in place in securing their data. In conclusion, finding a balance between IT expertise and costs of products that are able to help SMEs protect and secure their data will benefit the SMEs from using a more intelligent controlled environment with applied machine learning techniques, and not compromising on costs.</t>
  </si>
  <si>
    <t>No Access</t>
  </si>
  <si>
    <t>A Game-Theoretic Approach for Quantification of Strategic Behaviors in Digital Forensic Readiness</t>
  </si>
  <si>
    <t>Intrusion Detection System using Autoencoder based Deep Neural Network for SME Cybersecurity</t>
  </si>
  <si>
    <t>Duplicate</t>
  </si>
  <si>
    <t>PhishBuster: An Intelligent Web-Based Tool for Real-Time Malicious URL Detection in Small Businesses</t>
  </si>
  <si>
    <t>Machine learning cybersecurity adoption in small and medium enterprises in developed countries</t>
  </si>
  <si>
    <t>Intelligent detection and recovery from cyberattacks for small and medium-sized enterprises</t>
  </si>
  <si>
    <t>AI-Assisted Controls Change Management for Cybersecurity in the Cloud</t>
  </si>
  <si>
    <t>Efficient Malware Analysis Using Metric Embeddings</t>
  </si>
  <si>
    <t>Near Realtime Attack Detections with Weka Framework</t>
  </si>
  <si>
    <t>A Cost-Effective Security Framework to protect micro enterprises: PALANTIR e-commerce use case</t>
  </si>
  <si>
    <t>Data Exfiltration Detection System using Machine Learning</t>
  </si>
  <si>
    <t>ML-Based Security Analytics in South African SMEs: A Review and Classification</t>
  </si>
  <si>
    <t>SafeDocs: A Machine Learning-Based Framework for Malicious PDF Detection Tailored for SMEs</t>
  </si>
  <si>
    <t>Enterprise Intrusion Detection Using Ensemble CNN-LSTM-GBM: Cross-Scale Performance Analysis</t>
  </si>
  <si>
    <t>Automating Cyber Risk Assessment With Public LLMs: An Expert-Validated Framework and Comparative Analysis</t>
  </si>
  <si>
    <t>Beyond the Hype: Readiness Assessment of SMEs for AI-Driven Cybersecurity Audits</t>
  </si>
  <si>
    <t>Datum Export 25.04.2026</t>
  </si>
  <si>
    <t>Titel</t>
  </si>
  <si>
    <t>Title- und Abstract Screening</t>
  </si>
  <si>
    <t>Fulltext-Screening</t>
  </si>
  <si>
    <t>Empowering Small and Medium Enterprises with CyberQ Chatbot: A Knowledge Graph Enhanced Large Language Model</t>
  </si>
  <si>
    <t>Digital Transformation among Saudi SMEs: Exploring Contextual Factors</t>
  </si>
  <si>
    <t>Human-AI Collaboration in SMEs: A Role-Sensitive Framework for Cognitive Enterprise Hubs</t>
  </si>
  <si>
    <t>No</t>
  </si>
  <si>
    <t>Teaching GenAI Readiness: Secure AI Adoption for Small Businesses</t>
  </si>
  <si>
    <t>A Flexible Security Analytics Service for the Industrial IoT</t>
  </si>
  <si>
    <t>Titel- und Abstract Screnning</t>
  </si>
  <si>
    <t>(("artificial intelligence" OR "machine learning" OR AI) AND (cybersecurity OR "information security" OR "cyber security") AND ("small and medium enterprises" OR SME OR SMEs OR "SMEs"))</t>
  </si>
  <si>
    <t>Fuzzy Petri-Net-Based Risk Assessment Model for AI Adoption in SME Auto-Component Clusters</t>
  </si>
  <si>
    <t>The Transformative Impact of Cloud Computing on Small and Medium-sized Enterprises (SMEs): A Comprehensive Analysis</t>
  </si>
  <si>
    <t>Ai-Based Optimization of Blockchain Protocols for Cybersecurity in Iot Systems in Medium-Sized Organizations</t>
  </si>
  <si>
    <t>A Hybrid AI-Graph Engine for the All-in-One Automated Security Operations Center (SOC)</t>
  </si>
  <si>
    <t>A Review on Cyber Resilience Model in Small and Medium Enterprises</t>
  </si>
  <si>
    <t>PACY: ProActive Cybersecurity for Small and Medium Enterprises</t>
  </si>
  <si>
    <t>Benchmarking and Evaluating Large Language Models in Phishing Detection for Small and Midsize Enterprises: A Comprehensive Analysis</t>
  </si>
  <si>
    <t>Automated Threat Emulation Framework with LLMs for Cyber Physical Systems</t>
  </si>
  <si>
    <t>Digital Transformation for Sustainable Small Businesses in the Post-Pandemic Economy</t>
  </si>
  <si>
    <t>Industry 4.0 Empowered by Interoperability: Vertical Integration of Electrical and Fire Safety Systems Using IEC Standards in a SCADA Environment</t>
  </si>
  <si>
    <t>AI Driven Digital Twins for Predictive Maintenance in Smart Factories</t>
  </si>
  <si>
    <t>Power Resilience Planning under the Threat of Artificial Intelligence</t>
  </si>
  <si>
    <t>Optimizing MSME Performance through Marketing Capabilities and Digital Marketing Adoption</t>
  </si>
  <si>
    <t>Machine Learning Applications and the use of Big Data to Manage the Operation of SMEs</t>
  </si>
  <si>
    <t>LI-NIDS: LLM-based Intelligent NIDS Rules Generation for Cybersecurity Applications</t>
  </si>
  <si>
    <t>Neurosymbolic AI for Mining Public Opinions on Generative AI's Role in Firm Efficiency</t>
  </si>
  <si>
    <t>Research on Network Intrusion Detection Technology Based on Machine Learning</t>
  </si>
  <si>
    <t>DevSecOps in Practice: A Systematic Review of Challenges, Best Practices and Tools</t>
  </si>
  <si>
    <t>Challenging the status quo: Why artificial intelligence models must go beyond accuracy in cervical cancer diagnosis</t>
  </si>
  <si>
    <t>NOT ALL SMEs ARE THE SAME: CATEGORIZING SECURITY NEEDS OF SMEs</t>
  </si>
  <si>
    <t>Comparative analysis of EU-based cybersecurity skills frameworks</t>
  </si>
  <si>
    <t>Leveraging Large Language Models for Scalable and Explainable Cybersecurity Log Analysis</t>
  </si>
  <si>
    <t>AI-Driven Cybersecurity for Personalized Threat Detection in Small and Medium Scale Enterprises</t>
  </si>
  <si>
    <t>Systematic Literature Review on Manufacturing Execution Systems in the Era of Industry 4.0: A Bibliometric Analysis</t>
  </si>
  <si>
    <t>A generative AI-driven cybersecurity framework for small and medium enterprises software development: an ANN-ISM approach</t>
  </si>
  <si>
    <t>Digitalisation and Cybersecurity: Towards an Operational Framework</t>
  </si>
  <si>
    <t>Self-X-based secure human-cyber-physical system (SSHCPS) for autonomous manufacturing in the era of industry 5.0</t>
  </si>
  <si>
    <t>AN ADAPTIVE MODEL FOR SOFTWARE CODE QUALITYASSESSMENT IN REFACTORING TASKS BASED ON FUZZY LOGIC; [Адаптивна модль оцінки якості програмного коду в задачах рефакторингу на основі fuzzy-логіки],</t>
  </si>
  <si>
    <t>Designing, Simulating &amp; Implementing a Zero Trust Network Architecture (ZTNA)</t>
  </si>
  <si>
    <t>How Generative AI Operated by Large Language Models Fosters Sustainable Green Practices in Green Metaverse: Mediating Role of Green Cybersecurity</t>
  </si>
  <si>
    <t>Development of an Application-Based Framework for Information Security Management in SMEs</t>
  </si>
  <si>
    <t>Lightweight AI-Driven intrusion detection for SMEs: Comparative analysis of machine lerning models on Ton_Iot</t>
  </si>
  <si>
    <t>Integrating sustainability into cybersecurity: insights from machine learning based topic modeling</t>
  </si>
  <si>
    <t>SME-SHIELD: A Scalable AI Architecture for Third-Party Cyber Risk Assessment in Small and Medium Enterprises (SMEs)</t>
  </si>
  <si>
    <t>Digital Twin in SMEs: Implementing Advanced Digital Technologies for Engineering Advancements</t>
  </si>
  <si>
    <t>Comparative Analysis of Human and Independent Large Language Model (LLM) Perspectives on the Top Ten Cybersecurity Issues in Aviation</t>
  </si>
  <si>
    <t>Enhancing Cyber-Resilience for Small and Medium-Sized Organizations with Prescriptive Malware Analysis, Detection and Response</t>
  </si>
  <si>
    <t>Developing Security Information and Events Management Use Cases for 5G Specific Vulnerabilities and Attacks</t>
  </si>
  <si>
    <t>SMEs' use of AI for new product development: Adoption rates by application and readiness-to-adopt</t>
  </si>
  <si>
    <t>Drivers of cybersecurity adoption in developing countries: a data-driven approach</t>
  </si>
  <si>
    <t>Integrated Multi-Layer Security Framework for Water Distribution Digital Twins</t>
  </si>
  <si>
    <t>The severity and effects of Cyber-breaches in SMEs: a machine learning approach</t>
  </si>
  <si>
    <t>Cybersecurity and the NIST Framework: A Systematic Review of its Implementation and Effectiveness Against Cyber Threats</t>
  </si>
  <si>
    <t>Predicting CyberSecurity Incidents using Machine Learning Algorithms: A Case Study of Korean SMEs</t>
  </si>
  <si>
    <t>The paradigm shift from industry 4.0 implementation to industry 5.0 readiness</t>
  </si>
  <si>
    <t>Cybersecurity Resilience in SMEs. A Machine Learning Approach</t>
  </si>
  <si>
    <t>Evaluation of AI-based use cases for enhancing the cyber security defense of small and medium-sized companies (SMEs)</t>
  </si>
  <si>
    <t>Cybersecurity in the Age of Artificial Intelligence: Emerging Challenges for South African SMEs: A Scoping Review</t>
  </si>
  <si>
    <t>Safeguarding the Future: Forecasting Cybersecurity and Privacy Challenges and Solutions in Emerging Technologies for SMEs</t>
  </si>
  <si>
    <t>Exploration of the Impact of Cybersecurity Awareness on Small and Medium Enterprises (SMEs) in Wales Using Intelligent Software to Combat Cybercrime</t>
  </si>
  <si>
    <t>Enhancing Cybersecurity for SMEs: Integrating AI and SIEM Solutions for Threat Detection and Mitigation</t>
  </si>
  <si>
    <t>Innovation management strategies for industrial machinery maintenance: Enhancing competitive advantage</t>
  </si>
  <si>
    <t>SecurSentry: An AI-Driven Security Information and Event Management System for SMEs</t>
  </si>
  <si>
    <t>Machine learning methods for classification and prediction information security risk assessment</t>
  </si>
  <si>
    <t>Cybersecurity Framework: Addressing Resiliency in Welsh SMEs for Digital Transformation and Industry 5.0</t>
  </si>
  <si>
    <t>Cybersecurity in Mexico: An In-Depth Analysis of a Fragmented Regulatory Landscape</t>
  </si>
  <si>
    <t>Aligning SME Critical Assets with Cyber Risks Using a Matrix Model to Develop a Cyber Resilience Framework</t>
  </si>
  <si>
    <t>User Data Analytics for Prediction of Business Impact Due to Cybercrimes in India: Learnings from Literature and Metadata</t>
  </si>
  <si>
    <t>Predicting cybersecurity incidents using machine learning algorithms: A case study of Korean smes</t>
  </si>
  <si>
    <t>Study protocol for factors influencing the adoption of ChatGPT technology by startups: Perceptions and attitudes of entrepreneurs</t>
  </si>
  <si>
    <t>Posthumanist Technologies in Business: AI and Cloud Computing for Global Optimization and Ethical Challenges</t>
  </si>
  <si>
    <t>The effect of IT security issues on the implementation of industry 4.0 in SMEs: Barriers and challenges</t>
  </si>
  <si>
    <t>Data management in Polish SMEs in the era of AI - threats and benefits of AI-based tools</t>
  </si>
  <si>
    <t>Future of MSMEs in the Digital Age: Challenges and Opportunities in Developing Countries</t>
  </si>
  <si>
    <t>Insight into how legal and ethical considerations of artificial intelligence enhance the effectiveness of cyber forensic accounting</t>
  </si>
  <si>
    <t>Risk-Management Framework and Information-Security Systems for Small and Medium Enterprises (SMEs): A Meta-Analysis Approach</t>
  </si>
  <si>
    <t>Small Firms, Big Threats: Cybersecurity Research and the Role of Public Policy in the SME Sector</t>
  </si>
  <si>
    <t>Industrial metaverse meets IIoT: low-code platforms for machine-to-machine and human-to-machine integration</t>
  </si>
  <si>
    <t>Smart Factory Competitiveness Based on Real Time Monitoring and Quality Predictive Model Applied to Multi-stages Production Lines</t>
  </si>
  <si>
    <t>Empowering SMEs Through XR Technologies: Bridging Expertise Gaps and Promoting Sustainable Development</t>
  </si>
  <si>
    <t>Does My Concept Map Smell? Improving Concept Map Readability via Software Engineering Principles</t>
  </si>
  <si>
    <t>Assessing the Impact of 5G Technology on Business Operations</t>
  </si>
  <si>
    <t>Digital Literacy and the Challenge for NIST Compliance in Developing Economies</t>
  </si>
  <si>
    <t>Analysis of informatization-related factors for digital transformation in manufacturing small and medium-sized enterprises using machine learning techniques</t>
  </si>
  <si>
    <t>Staging digital capability activation for innovation resilience: a dynamic capability perspective on sequencing AI, big data, IoT and blockchain</t>
  </si>
  <si>
    <t>Investigating Potential Barriers to Cybersecurity Risk Management Investment in SMEs</t>
  </si>
  <si>
    <t>Identification Overview of Industry 4.0 Essential Attributes and Resource‐Limited Embedded Artificial‐Intelligence‐of‐Things Devices for Small and Medium‐Sized Enterprises</t>
  </si>
  <si>
    <t>Digital Transformation in Industry 5.0: A resilient cybersecurity solutions for Small Medium Enterprises (SMEs)</t>
  </si>
  <si>
    <t>On Strengthening SMEs and MEs Threat Intelligence and Awareness by Identifying Data Breaches, Stolen Credentials and Illegal Activities on the Dark Web</t>
  </si>
  <si>
    <t>Analysis of digital technologies in Ukraine: problems and prospects</t>
  </si>
  <si>
    <t>A Scalable Cybersecurity Model for Shared SOCs in SMEs</t>
  </si>
  <si>
    <t>A cyber risk economics model for organization-wide risk management (CYREM-ORM)</t>
  </si>
  <si>
    <t>Technological Factors and Supply Chain Transparency: Role of Decision Support System</t>
  </si>
  <si>
    <t>Intelligent accounting digital maturity model for small and medium-sized accounting firms</t>
  </si>
  <si>
    <t>A Human-Centric AI-Enabled Ecosystem for SME Cybersecurity: Cross-Sectoral Practices and Adaptation Framework for Maritime Defence</t>
  </si>
  <si>
    <t>Strategic Foresight and Skills Intelligence for the Automotive-Mobility Ecosystem: Insights from the TRIREME Project</t>
  </si>
  <si>
    <t>Innovating in Cutting-edge Technologies; [Innovando en Tecnologías de Vanguardia]</t>
  </si>
  <si>
    <t>Implementation of artificial intelligence in quality management in SMEs: benefits and challenges</t>
  </si>
  <si>
    <t>Cyber security risk assessment techniques &amp; tools for small &amp; medium enterprises (SMEs)</t>
  </si>
  <si>
    <t>Research on the Application and Risk Control of Cloud Computing in Accounting from the Perspective of Network Security</t>
  </si>
  <si>
    <t>AI-based E-commerce adoption by Taiwanese SMEs and its marketing performance expectancy</t>
  </si>
  <si>
    <t>Intelligent Energy Management Systems in Industry 5.0: Cybersecurity Applications in Examples</t>
  </si>
  <si>
    <t>SENTINEL - Approachable, tailor-made cybersecurity and data protection for small enterprises</t>
  </si>
  <si>
    <t>Cost benefits of using machine learning features in NIDS for cyber security in UK small medium enterprises (SME)</t>
  </si>
  <si>
    <t>A Hybrid Cloud-Blockchain Framework Enhanced by Deep Learning for Smart SME Digital Transformation</t>
  </si>
  <si>
    <t>Social Capital and Artificial Intelligence Readiness: The Mediating Role of Cyber Resilience and Value Construction of Smes in Resource-Constrained Environments</t>
  </si>
  <si>
    <t>Duplikate EBSCOHOST</t>
  </si>
  <si>
    <t>Are Data Ecosystems ready for Location Data - Case Location Innovation Hub in Finland</t>
  </si>
  <si>
    <t>Cost Benefits of Using Machine Learning Features in NIDS for Cyber Security in UK Small Medium Enterprises (SME)</t>
  </si>
  <si>
    <t>Keine Duplikate</t>
  </si>
  <si>
    <t>smartHEALTH: Driving digital transformation in healthcare and public services</t>
  </si>
  <si>
    <t>Industry 4.0-driven digital transformation for resilient aerospace supply chains: a comprehensive review</t>
  </si>
  <si>
    <t>Experiences With New SW Paradigms for Systems Software and Service Process Improvement and Innovation</t>
  </si>
  <si>
    <t>Analysis and Assessment of the Impact of Electronic Commerce on the Banking Sector in Azerbaijan</t>
  </si>
  <si>
    <t>Narrow Artificial Intelligence, Supply Chain Resilience, and SMEs in Developing Countries: A Protocol for a Scoping Review</t>
  </si>
  <si>
    <t>Duplikate</t>
  </si>
  <si>
    <t>Building Resilient SMEs: Harnessing Large Language Models for Cyber Security in Australia</t>
  </si>
  <si>
    <t>Kereopa-Yorke</t>
  </si>
  <si>
    <t>Investigating the Security Divide between Large Companies: How SME Characteristics Influence Organizational IT Security Investments</t>
  </si>
  <si>
    <t>Heidt et al.</t>
  </si>
  <si>
    <t>Systematic Approach to Cyber Resilience Operationalization in SMEs</t>
  </si>
  <si>
    <t>Carias et al.</t>
  </si>
  <si>
    <t>Industry 4.0 enabled Digital Transformation: Prospects, Instruments, Challenges and Implications for Business Strategies</t>
  </si>
  <si>
    <t>Yaqub &amp; Alsabban</t>
  </si>
  <si>
    <t>Autoren</t>
  </si>
  <si>
    <t>Jahr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</si>
</sst>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16" fillId="0" borderId="0" xfId="0" applyFont="1"/>
    <xf numFmtId="0" fontId="14" fillId="0" borderId="0" xfId="0" applyFont="1"/>
    <xf numFmtId="0" fontId="14" fillId="0" borderId="10" xfId="0" applyFont="1" applyBorder="1"/>
    <xf numFmtId="0" fontId="14" fillId="0" borderId="11" xfId="0" applyFont="1" applyBorder="1"/>
    <xf numFmtId="0" fontId="14" fillId="0" borderId="12" xfId="0" applyFont="1" applyBorder="1"/>
    <xf numFmtId="0" fontId="18" fillId="0" borderId="0" xfId="0" applyFont="1"/>
    <xf numFmtId="0" fontId="16" fillId="0" borderId="0" xfId="0" applyFont="1"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4FF6-E3CA-42D3-9982-16DFBF8C8263}">
  <dimension ref="A1:K114"/>
  <sheetViews>
    <sheetView tabSelected="1" zoomScale="61" workbookViewId="0">
      <selection activeCell="A21" sqref="A21:XFD21"/>
    </sheetView>
  </sheetViews>
  <sheetFormatPr baseColWidth="10" defaultRowHeight="13.5"/>
  <cols>
    <col min="1" max="1" width="129.625" customWidth="1"/>
    <col min="2" max="2" width="12.375" customWidth="1"/>
    <col min="3" max="3" width="10.8125" customWidth="1"/>
    <col min="5" max="6" width="26.6875" customWidth="1"/>
  </cols>
  <sheetData>
    <row r="1" spans="1:9" ht="13.9">
      <c r="A1" s="2" t="s">
        <v>0</v>
      </c>
      <c r="B1" s="2" t="s">
        <v>117</v>
      </c>
      <c r="C1" s="2" t="s">
        <v>116</v>
      </c>
      <c r="D1" s="2" t="s">
        <v>1</v>
      </c>
      <c r="E1" s="2" t="s">
        <v>119</v>
      </c>
      <c r="F1" s="2" t="s">
        <v>120</v>
      </c>
      <c r="G1" s="2" t="s">
        <v>2</v>
      </c>
      <c r="H1" s="2"/>
      <c r="I1" s="2"/>
    </row>
    <row r="2" spans="1:9">
      <c r="A2" t="s">
        <v>171</v>
      </c>
      <c r="B2" t="s">
        <v>118</v>
      </c>
      <c r="D2">
        <v>2021</v>
      </c>
      <c r="E2">
        <v>1</v>
      </c>
      <c r="F2">
        <v>1</v>
      </c>
      <c r="G2" t="s">
        <v>3</v>
      </c>
    </row>
    <row r="3" spans="1:9">
      <c r="A3" t="s">
        <v>192</v>
      </c>
      <c r="D3">
        <v>2025</v>
      </c>
      <c r="E3">
        <v>0</v>
      </c>
      <c r="G3" t="s">
        <v>4</v>
      </c>
    </row>
    <row r="4" spans="1:9">
      <c r="A4" t="s">
        <v>185</v>
      </c>
      <c r="D4">
        <v>2024</v>
      </c>
      <c r="E4">
        <v>0</v>
      </c>
      <c r="G4" t="s">
        <v>5</v>
      </c>
    </row>
    <row r="5" spans="1:9">
      <c r="A5" t="s">
        <v>187</v>
      </c>
      <c r="B5" t="s">
        <v>118</v>
      </c>
      <c r="D5">
        <v>2023</v>
      </c>
      <c r="E5">
        <v>1</v>
      </c>
      <c r="F5">
        <v>0</v>
      </c>
      <c r="G5" t="s">
        <v>6</v>
      </c>
    </row>
    <row r="6" spans="1:9">
      <c r="A6" t="s">
        <v>193</v>
      </c>
      <c r="D6">
        <v>2025</v>
      </c>
      <c r="E6">
        <v>0</v>
      </c>
      <c r="G6" t="s">
        <v>7</v>
      </c>
    </row>
    <row r="7" spans="1:9">
      <c r="A7" t="s">
        <v>194</v>
      </c>
      <c r="B7" t="s">
        <v>118</v>
      </c>
      <c r="D7">
        <v>2025</v>
      </c>
      <c r="E7">
        <v>1</v>
      </c>
      <c r="F7">
        <v>0</v>
      </c>
      <c r="G7" t="s">
        <v>8</v>
      </c>
    </row>
    <row r="8" spans="1:9">
      <c r="A8" t="s">
        <v>195</v>
      </c>
      <c r="B8" t="s">
        <v>118</v>
      </c>
      <c r="D8">
        <v>2025</v>
      </c>
      <c r="E8">
        <v>1</v>
      </c>
      <c r="F8">
        <v>1</v>
      </c>
      <c r="G8" t="s">
        <v>9</v>
      </c>
    </row>
    <row r="9" spans="1:9">
      <c r="A9" t="s">
        <v>196</v>
      </c>
      <c r="B9" t="s">
        <v>118</v>
      </c>
      <c r="D9">
        <v>2026</v>
      </c>
      <c r="E9">
        <v>1</v>
      </c>
      <c r="F9">
        <v>1</v>
      </c>
      <c r="G9" t="s">
        <v>10</v>
      </c>
    </row>
    <row r="10" spans="1:9">
      <c r="A10" t="s">
        <v>197</v>
      </c>
      <c r="D10">
        <v>2025</v>
      </c>
      <c r="E10">
        <v>0</v>
      </c>
      <c r="G10" t="s">
        <v>11</v>
      </c>
    </row>
    <row r="11" spans="1:9">
      <c r="A11" t="s">
        <v>198</v>
      </c>
      <c r="B11" t="s">
        <v>118</v>
      </c>
      <c r="D11">
        <v>2026</v>
      </c>
      <c r="E11">
        <v>1</v>
      </c>
      <c r="F11">
        <v>1</v>
      </c>
      <c r="G11" t="s">
        <v>12</v>
      </c>
    </row>
    <row r="12" spans="1:9">
      <c r="A12" t="s">
        <v>199</v>
      </c>
      <c r="D12">
        <v>2024</v>
      </c>
      <c r="E12">
        <v>0</v>
      </c>
      <c r="G12" t="s">
        <v>13</v>
      </c>
    </row>
    <row r="13" spans="1:9">
      <c r="A13" t="s">
        <v>200</v>
      </c>
      <c r="D13">
        <v>2026</v>
      </c>
      <c r="E13">
        <v>0</v>
      </c>
      <c r="G13" t="s">
        <v>14</v>
      </c>
    </row>
    <row r="14" spans="1:9">
      <c r="A14" t="s">
        <v>201</v>
      </c>
      <c r="D14">
        <v>2026</v>
      </c>
      <c r="E14">
        <v>0</v>
      </c>
      <c r="G14" t="s">
        <v>15</v>
      </c>
    </row>
    <row r="15" spans="1:9">
      <c r="A15" t="s">
        <v>202</v>
      </c>
      <c r="D15">
        <v>2025</v>
      </c>
      <c r="E15">
        <v>0</v>
      </c>
      <c r="G15" t="s">
        <v>16</v>
      </c>
    </row>
    <row r="16" spans="1:9">
      <c r="A16" t="s">
        <v>203</v>
      </c>
      <c r="B16" t="s">
        <v>118</v>
      </c>
      <c r="D16">
        <v>2025</v>
      </c>
      <c r="E16">
        <v>1</v>
      </c>
      <c r="F16">
        <v>0</v>
      </c>
      <c r="G16" t="s">
        <v>17</v>
      </c>
    </row>
    <row r="17" spans="1:7">
      <c r="A17" t="s">
        <v>204</v>
      </c>
      <c r="D17">
        <v>2025</v>
      </c>
      <c r="E17">
        <v>0</v>
      </c>
      <c r="G17" t="s">
        <v>18</v>
      </c>
    </row>
    <row r="18" spans="1:7">
      <c r="A18" t="s">
        <v>180</v>
      </c>
      <c r="B18" t="s">
        <v>118</v>
      </c>
      <c r="D18">
        <v>2025</v>
      </c>
      <c r="E18">
        <v>1</v>
      </c>
      <c r="F18">
        <v>1</v>
      </c>
      <c r="G18" t="s">
        <v>19</v>
      </c>
    </row>
    <row r="19" spans="1:7">
      <c r="A19" t="s">
        <v>205</v>
      </c>
      <c r="B19" t="s">
        <v>118</v>
      </c>
      <c r="D19">
        <v>2025</v>
      </c>
      <c r="E19">
        <v>1</v>
      </c>
      <c r="F19">
        <v>1</v>
      </c>
      <c r="G19" t="s">
        <v>20</v>
      </c>
    </row>
    <row r="20" spans="1:7">
      <c r="A20" t="s">
        <v>206</v>
      </c>
      <c r="B20" t="s">
        <v>118</v>
      </c>
      <c r="D20">
        <v>2025</v>
      </c>
      <c r="E20">
        <v>1</v>
      </c>
      <c r="F20">
        <v>0</v>
      </c>
      <c r="G20" t="s">
        <v>21</v>
      </c>
    </row>
    <row r="21" spans="1:7">
      <c r="A21" t="s">
        <v>207</v>
      </c>
      <c r="D21">
        <v>2025</v>
      </c>
      <c r="E21">
        <v>1</v>
      </c>
      <c r="F21" t="s">
        <v>145</v>
      </c>
      <c r="G21" t="s">
        <v>22</v>
      </c>
    </row>
    <row r="22" spans="1:7">
      <c r="A22" t="s">
        <v>208</v>
      </c>
      <c r="D22">
        <v>2024</v>
      </c>
      <c r="E22">
        <v>0</v>
      </c>
      <c r="G22" t="s">
        <v>23</v>
      </c>
    </row>
    <row r="23" spans="1:7">
      <c r="A23" t="s">
        <v>209</v>
      </c>
      <c r="D23">
        <v>2026</v>
      </c>
      <c r="E23">
        <v>1</v>
      </c>
      <c r="F23" t="s">
        <v>145</v>
      </c>
      <c r="G23" t="s">
        <v>24</v>
      </c>
    </row>
    <row r="24" spans="1:7">
      <c r="A24" t="s">
        <v>210</v>
      </c>
      <c r="B24" t="s">
        <v>118</v>
      </c>
      <c r="D24">
        <v>2023</v>
      </c>
      <c r="E24">
        <v>1</v>
      </c>
      <c r="F24">
        <v>1</v>
      </c>
      <c r="G24" t="s">
        <v>25</v>
      </c>
    </row>
    <row r="25" spans="1:7">
      <c r="A25" t="s">
        <v>211</v>
      </c>
      <c r="D25">
        <v>2025</v>
      </c>
      <c r="E25">
        <v>0</v>
      </c>
      <c r="G25" t="s">
        <v>26</v>
      </c>
    </row>
    <row r="26" spans="1:7">
      <c r="A26" t="s">
        <v>212</v>
      </c>
      <c r="D26">
        <v>2025</v>
      </c>
      <c r="E26">
        <v>0</v>
      </c>
      <c r="G26" t="s">
        <v>27</v>
      </c>
    </row>
    <row r="27" spans="1:7">
      <c r="A27" t="s">
        <v>213</v>
      </c>
      <c r="D27">
        <v>2025</v>
      </c>
      <c r="E27">
        <v>0</v>
      </c>
      <c r="G27" t="s">
        <v>28</v>
      </c>
    </row>
    <row r="28" spans="1:7">
      <c r="A28" t="s">
        <v>214</v>
      </c>
      <c r="D28">
        <v>2026</v>
      </c>
      <c r="E28">
        <v>0</v>
      </c>
      <c r="G28" t="s">
        <v>29</v>
      </c>
    </row>
    <row r="29" spans="1:7">
      <c r="A29" t="s">
        <v>215</v>
      </c>
      <c r="B29" t="s">
        <v>118</v>
      </c>
      <c r="D29">
        <v>2023</v>
      </c>
      <c r="E29">
        <v>1</v>
      </c>
      <c r="F29">
        <v>0</v>
      </c>
      <c r="G29" t="s">
        <v>30</v>
      </c>
    </row>
    <row r="30" spans="1:7">
      <c r="A30" t="s">
        <v>189</v>
      </c>
      <c r="D30">
        <v>2025</v>
      </c>
      <c r="E30">
        <v>0</v>
      </c>
      <c r="G30" t="s">
        <v>31</v>
      </c>
    </row>
    <row r="31" spans="1:7">
      <c r="A31" t="s">
        <v>216</v>
      </c>
      <c r="D31">
        <v>2025</v>
      </c>
      <c r="E31">
        <v>0</v>
      </c>
      <c r="G31" t="s">
        <v>32</v>
      </c>
    </row>
    <row r="32" spans="1:7">
      <c r="A32" t="s">
        <v>178</v>
      </c>
      <c r="B32" t="s">
        <v>118</v>
      </c>
      <c r="D32">
        <v>2022</v>
      </c>
      <c r="E32">
        <v>1</v>
      </c>
      <c r="F32">
        <v>1</v>
      </c>
      <c r="G32" t="s">
        <v>33</v>
      </c>
    </row>
    <row r="33" spans="1:7">
      <c r="A33" t="s">
        <v>217</v>
      </c>
      <c r="B33" t="s">
        <v>118</v>
      </c>
      <c r="D33">
        <v>2019</v>
      </c>
      <c r="E33">
        <v>1</v>
      </c>
      <c r="F33">
        <v>1</v>
      </c>
      <c r="G33" t="s">
        <v>34</v>
      </c>
    </row>
    <row r="34" spans="1:7">
      <c r="A34" t="s">
        <v>218</v>
      </c>
      <c r="D34">
        <v>2023</v>
      </c>
      <c r="E34">
        <v>0</v>
      </c>
      <c r="G34" t="s">
        <v>35</v>
      </c>
    </row>
    <row r="35" spans="1:7">
      <c r="A35" t="s">
        <v>188</v>
      </c>
      <c r="B35" t="s">
        <v>118</v>
      </c>
      <c r="D35">
        <v>2025</v>
      </c>
      <c r="E35">
        <v>1</v>
      </c>
      <c r="F35">
        <v>0</v>
      </c>
      <c r="G35" t="s">
        <v>36</v>
      </c>
    </row>
    <row r="36" spans="1:7">
      <c r="A36" t="s">
        <v>219</v>
      </c>
      <c r="D36">
        <v>2024</v>
      </c>
      <c r="E36">
        <v>0</v>
      </c>
      <c r="G36" t="s">
        <v>37</v>
      </c>
    </row>
    <row r="37" spans="1:7">
      <c r="A37" t="s">
        <v>181</v>
      </c>
      <c r="D37">
        <v>2025</v>
      </c>
      <c r="E37">
        <v>0</v>
      </c>
      <c r="G37" t="s">
        <v>38</v>
      </c>
    </row>
    <row r="38" spans="1:7">
      <c r="A38" t="s">
        <v>220</v>
      </c>
      <c r="B38" t="s">
        <v>118</v>
      </c>
      <c r="D38">
        <v>2022</v>
      </c>
      <c r="E38">
        <v>1</v>
      </c>
      <c r="F38">
        <v>1</v>
      </c>
      <c r="G38" t="s">
        <v>39</v>
      </c>
    </row>
    <row r="39" spans="1:7">
      <c r="A39" t="s">
        <v>221</v>
      </c>
      <c r="B39" t="s">
        <v>118</v>
      </c>
      <c r="D39">
        <v>2026</v>
      </c>
      <c r="E39">
        <v>1</v>
      </c>
      <c r="F39">
        <v>0</v>
      </c>
      <c r="G39" t="s">
        <v>40</v>
      </c>
    </row>
    <row r="40" spans="1:7">
      <c r="A40" t="s">
        <v>222</v>
      </c>
      <c r="B40" t="s">
        <v>118</v>
      </c>
      <c r="D40">
        <v>2025</v>
      </c>
      <c r="E40">
        <v>1</v>
      </c>
      <c r="F40">
        <v>1</v>
      </c>
      <c r="G40" t="s">
        <v>41</v>
      </c>
    </row>
    <row r="41" spans="1:7">
      <c r="A41" t="s">
        <v>223</v>
      </c>
      <c r="B41" t="s">
        <v>118</v>
      </c>
      <c r="D41">
        <v>2022</v>
      </c>
      <c r="E41">
        <v>1</v>
      </c>
      <c r="F41">
        <v>0</v>
      </c>
      <c r="G41" t="s">
        <v>42</v>
      </c>
    </row>
    <row r="42" spans="1:7">
      <c r="A42" t="s">
        <v>224</v>
      </c>
      <c r="B42" t="s">
        <v>118</v>
      </c>
      <c r="D42">
        <v>2026</v>
      </c>
      <c r="E42">
        <v>1</v>
      </c>
      <c r="F42">
        <v>1</v>
      </c>
      <c r="G42" t="s">
        <v>43</v>
      </c>
    </row>
    <row r="43" spans="1:7">
      <c r="A43" t="s">
        <v>225</v>
      </c>
      <c r="D43">
        <v>2025</v>
      </c>
      <c r="E43">
        <v>0</v>
      </c>
      <c r="G43" t="s">
        <v>44</v>
      </c>
    </row>
    <row r="44" spans="1:7">
      <c r="A44" t="s">
        <v>226</v>
      </c>
      <c r="B44" t="s">
        <v>118</v>
      </c>
      <c r="D44">
        <v>2026</v>
      </c>
      <c r="E44">
        <v>1</v>
      </c>
      <c r="F44">
        <v>1</v>
      </c>
      <c r="G44" t="s">
        <v>45</v>
      </c>
    </row>
    <row r="45" spans="1:7">
      <c r="A45" t="s">
        <v>227</v>
      </c>
      <c r="D45">
        <v>2025</v>
      </c>
      <c r="E45">
        <v>0</v>
      </c>
      <c r="G45" t="s">
        <v>46</v>
      </c>
    </row>
    <row r="46" spans="1:7">
      <c r="A46" t="s">
        <v>146</v>
      </c>
      <c r="D46">
        <v>2025</v>
      </c>
      <c r="E46">
        <v>1</v>
      </c>
      <c r="F46">
        <v>0</v>
      </c>
      <c r="G46" t="s">
        <v>47</v>
      </c>
    </row>
    <row r="47" spans="1:7">
      <c r="A47" t="s">
        <v>170</v>
      </c>
      <c r="D47">
        <v>2025</v>
      </c>
      <c r="E47">
        <v>0</v>
      </c>
      <c r="G47" t="s">
        <v>48</v>
      </c>
    </row>
    <row r="48" spans="1:7">
      <c r="A48" t="s">
        <v>228</v>
      </c>
      <c r="D48">
        <v>2025</v>
      </c>
      <c r="E48">
        <v>0</v>
      </c>
      <c r="G48" t="s">
        <v>49</v>
      </c>
    </row>
    <row r="49" spans="1:7">
      <c r="A49" t="s">
        <v>229</v>
      </c>
      <c r="D49">
        <v>2025</v>
      </c>
      <c r="E49">
        <v>0</v>
      </c>
      <c r="G49" t="s">
        <v>50</v>
      </c>
    </row>
    <row r="50" spans="1:7">
      <c r="A50" t="s">
        <v>230</v>
      </c>
      <c r="D50">
        <v>2025</v>
      </c>
      <c r="E50">
        <v>0</v>
      </c>
      <c r="G50" t="s">
        <v>51</v>
      </c>
    </row>
    <row r="51" spans="1:7">
      <c r="A51" t="s">
        <v>231</v>
      </c>
      <c r="D51">
        <v>2026</v>
      </c>
      <c r="E51">
        <v>0</v>
      </c>
      <c r="G51" t="s">
        <v>52</v>
      </c>
    </row>
    <row r="52" spans="1:7">
      <c r="A52" t="s">
        <v>147</v>
      </c>
      <c r="B52" t="s">
        <v>118</v>
      </c>
      <c r="D52">
        <v>2021</v>
      </c>
      <c r="E52">
        <v>1</v>
      </c>
      <c r="F52">
        <v>1</v>
      </c>
      <c r="G52" t="s">
        <v>53</v>
      </c>
    </row>
    <row r="53" spans="1:7">
      <c r="A53" t="s">
        <v>232</v>
      </c>
      <c r="B53" t="s">
        <v>148</v>
      </c>
      <c r="D53">
        <v>2019</v>
      </c>
      <c r="E53">
        <v>1</v>
      </c>
      <c r="G53" t="s">
        <v>54</v>
      </c>
    </row>
    <row r="54" spans="1:7">
      <c r="A54" t="s">
        <v>233</v>
      </c>
      <c r="D54">
        <v>2024</v>
      </c>
      <c r="E54">
        <v>0</v>
      </c>
      <c r="G54" t="s">
        <v>55</v>
      </c>
    </row>
    <row r="55" spans="1:7">
      <c r="A55" t="s">
        <v>179</v>
      </c>
      <c r="B55" t="s">
        <v>118</v>
      </c>
      <c r="D55">
        <v>2025</v>
      </c>
      <c r="E55">
        <v>1</v>
      </c>
      <c r="F55">
        <v>1</v>
      </c>
      <c r="G55" t="s">
        <v>56</v>
      </c>
    </row>
    <row r="56" spans="1:7">
      <c r="A56" t="s">
        <v>234</v>
      </c>
      <c r="D56">
        <v>2024</v>
      </c>
      <c r="E56">
        <v>1</v>
      </c>
      <c r="F56">
        <v>0</v>
      </c>
      <c r="G56" t="s">
        <v>57</v>
      </c>
    </row>
    <row r="57" spans="1:7">
      <c r="A57" t="s">
        <v>235</v>
      </c>
      <c r="D57">
        <v>2024</v>
      </c>
      <c r="E57">
        <v>0</v>
      </c>
      <c r="G57" t="s">
        <v>58</v>
      </c>
    </row>
    <row r="58" spans="1:7">
      <c r="A58" t="s">
        <v>236</v>
      </c>
      <c r="B58" t="s">
        <v>118</v>
      </c>
      <c r="D58">
        <v>2024</v>
      </c>
      <c r="E58">
        <v>1</v>
      </c>
      <c r="F58">
        <v>1</v>
      </c>
      <c r="G58" t="s">
        <v>59</v>
      </c>
    </row>
    <row r="59" spans="1:7">
      <c r="A59" t="s">
        <v>237</v>
      </c>
      <c r="D59">
        <v>2026</v>
      </c>
      <c r="E59">
        <v>0</v>
      </c>
      <c r="G59" t="s">
        <v>60</v>
      </c>
    </row>
    <row r="60" spans="1:7">
      <c r="A60" t="s">
        <v>238</v>
      </c>
      <c r="D60">
        <v>2025</v>
      </c>
      <c r="E60">
        <v>0</v>
      </c>
      <c r="G60" t="s">
        <v>61</v>
      </c>
    </row>
    <row r="61" spans="1:7">
      <c r="A61" t="s">
        <v>239</v>
      </c>
      <c r="D61">
        <v>2023</v>
      </c>
      <c r="E61">
        <v>0</v>
      </c>
      <c r="G61" t="s">
        <v>62</v>
      </c>
    </row>
    <row r="62" spans="1:7">
      <c r="A62" t="s">
        <v>240</v>
      </c>
      <c r="D62">
        <v>2025</v>
      </c>
      <c r="E62">
        <v>0</v>
      </c>
      <c r="G62" t="s">
        <v>63</v>
      </c>
    </row>
    <row r="63" spans="1:7">
      <c r="A63" t="s">
        <v>149</v>
      </c>
      <c r="B63" t="s">
        <v>118</v>
      </c>
      <c r="D63">
        <v>2026</v>
      </c>
      <c r="E63">
        <v>1</v>
      </c>
      <c r="F63">
        <v>1</v>
      </c>
      <c r="G63" t="s">
        <v>64</v>
      </c>
    </row>
    <row r="64" spans="1:7">
      <c r="A64" t="s">
        <v>186</v>
      </c>
      <c r="D64">
        <v>2025</v>
      </c>
      <c r="E64">
        <v>0</v>
      </c>
      <c r="G64" t="s">
        <v>65</v>
      </c>
    </row>
    <row r="65" spans="1:7">
      <c r="A65" t="s">
        <v>241</v>
      </c>
      <c r="D65">
        <v>2025</v>
      </c>
      <c r="E65">
        <v>0</v>
      </c>
      <c r="G65" t="s">
        <v>66</v>
      </c>
    </row>
    <row r="66" spans="1:7">
      <c r="A66" t="s">
        <v>242</v>
      </c>
      <c r="D66">
        <v>2020</v>
      </c>
      <c r="E66">
        <v>0</v>
      </c>
      <c r="G66" t="s">
        <v>67</v>
      </c>
    </row>
    <row r="67" spans="1:7">
      <c r="A67" t="s">
        <v>243</v>
      </c>
      <c r="D67">
        <v>2026</v>
      </c>
      <c r="E67">
        <v>0</v>
      </c>
      <c r="G67" t="s">
        <v>68</v>
      </c>
    </row>
    <row r="68" spans="1:7">
      <c r="A68" t="s">
        <v>244</v>
      </c>
      <c r="D68">
        <v>2025</v>
      </c>
      <c r="E68">
        <v>0</v>
      </c>
      <c r="G68" t="s">
        <v>69</v>
      </c>
    </row>
    <row r="69" spans="1:7">
      <c r="A69" t="s">
        <v>245</v>
      </c>
      <c r="D69">
        <v>2025</v>
      </c>
      <c r="E69">
        <v>0</v>
      </c>
      <c r="G69" t="s">
        <v>70</v>
      </c>
    </row>
    <row r="70" spans="1:7">
      <c r="A70" t="s">
        <v>246</v>
      </c>
      <c r="D70">
        <v>2026</v>
      </c>
      <c r="E70">
        <v>0</v>
      </c>
      <c r="G70" t="s">
        <v>71</v>
      </c>
    </row>
    <row r="71" spans="1:7">
      <c r="A71" t="s">
        <v>247</v>
      </c>
      <c r="D71">
        <v>2025</v>
      </c>
      <c r="E71">
        <v>0</v>
      </c>
      <c r="G71" t="s">
        <v>72</v>
      </c>
    </row>
    <row r="72" spans="1:7">
      <c r="A72" t="s">
        <v>150</v>
      </c>
      <c r="D72">
        <v>2021</v>
      </c>
      <c r="E72">
        <v>1</v>
      </c>
      <c r="F72">
        <v>0</v>
      </c>
      <c r="G72" t="s">
        <v>73</v>
      </c>
    </row>
    <row r="73" spans="1:7">
      <c r="A73" t="s">
        <v>151</v>
      </c>
      <c r="B73" t="s">
        <v>118</v>
      </c>
      <c r="D73">
        <v>2020</v>
      </c>
      <c r="E73">
        <v>1</v>
      </c>
      <c r="F73">
        <v>1</v>
      </c>
      <c r="G73" t="s">
        <v>74</v>
      </c>
    </row>
    <row r="74" spans="1:7">
      <c r="A74" t="s">
        <v>248</v>
      </c>
      <c r="D74">
        <v>2025</v>
      </c>
      <c r="E74">
        <v>0</v>
      </c>
      <c r="G74" t="s">
        <v>75</v>
      </c>
    </row>
    <row r="75" spans="1:7">
      <c r="A75" t="s">
        <v>249</v>
      </c>
      <c r="D75">
        <v>2021</v>
      </c>
      <c r="E75">
        <v>0</v>
      </c>
      <c r="G75" t="s">
        <v>76</v>
      </c>
    </row>
    <row r="76" spans="1:7">
      <c r="A76" t="s">
        <v>152</v>
      </c>
      <c r="D76">
        <v>2022</v>
      </c>
      <c r="E76">
        <v>1</v>
      </c>
      <c r="F76">
        <v>0</v>
      </c>
      <c r="G76" t="s">
        <v>77</v>
      </c>
    </row>
    <row r="77" spans="1:7">
      <c r="A77" t="s">
        <v>250</v>
      </c>
      <c r="D77">
        <v>2022</v>
      </c>
      <c r="E77">
        <v>0</v>
      </c>
      <c r="G77" t="s">
        <v>78</v>
      </c>
    </row>
    <row r="78" spans="1:7">
      <c r="A78" t="s">
        <v>153</v>
      </c>
      <c r="B78" t="s">
        <v>118</v>
      </c>
      <c r="D78">
        <v>2022</v>
      </c>
      <c r="E78">
        <v>1</v>
      </c>
      <c r="F78">
        <v>1</v>
      </c>
      <c r="G78" t="s">
        <v>79</v>
      </c>
    </row>
    <row r="79" spans="1:7">
      <c r="A79" t="s">
        <v>251</v>
      </c>
      <c r="D79">
        <v>2025</v>
      </c>
      <c r="E79">
        <v>0</v>
      </c>
      <c r="G79" t="s">
        <v>80</v>
      </c>
    </row>
    <row r="80" spans="1:7">
      <c r="A80" t="s">
        <v>252</v>
      </c>
      <c r="D80">
        <v>2021</v>
      </c>
      <c r="E80">
        <v>0</v>
      </c>
      <c r="G80" t="s">
        <v>81</v>
      </c>
    </row>
    <row r="81" spans="1:7">
      <c r="A81" t="s">
        <v>154</v>
      </c>
      <c r="B81" t="s">
        <v>118</v>
      </c>
      <c r="D81">
        <v>2025</v>
      </c>
      <c r="E81">
        <v>1</v>
      </c>
      <c r="F81">
        <v>1</v>
      </c>
      <c r="G81" t="s">
        <v>82</v>
      </c>
    </row>
    <row r="82" spans="1:7">
      <c r="A82" t="s">
        <v>155</v>
      </c>
      <c r="D82">
        <v>2021</v>
      </c>
      <c r="E82">
        <v>1</v>
      </c>
      <c r="F82">
        <v>0</v>
      </c>
      <c r="G82" t="s">
        <v>83</v>
      </c>
    </row>
    <row r="83" spans="1:7">
      <c r="A83" t="s">
        <v>184</v>
      </c>
      <c r="D83">
        <v>2025</v>
      </c>
      <c r="E83">
        <v>0</v>
      </c>
      <c r="G83" t="s">
        <v>84</v>
      </c>
    </row>
    <row r="84" spans="1:7">
      <c r="A84" t="s">
        <v>253</v>
      </c>
      <c r="D84">
        <v>2024</v>
      </c>
      <c r="E84">
        <v>0</v>
      </c>
      <c r="G84" t="s">
        <v>85</v>
      </c>
    </row>
    <row r="85" spans="1:7">
      <c r="A85" t="s">
        <v>254</v>
      </c>
      <c r="D85">
        <v>2025</v>
      </c>
      <c r="E85">
        <v>0</v>
      </c>
      <c r="G85" t="s">
        <v>86</v>
      </c>
    </row>
    <row r="86" spans="1:7">
      <c r="A86" t="s">
        <v>87</v>
      </c>
      <c r="D86">
        <v>2024</v>
      </c>
      <c r="E86">
        <v>0</v>
      </c>
      <c r="G86" t="s">
        <v>88</v>
      </c>
    </row>
    <row r="87" spans="1:7">
      <c r="A87" t="s">
        <v>156</v>
      </c>
      <c r="B87" t="s">
        <v>118</v>
      </c>
      <c r="D87">
        <v>2025</v>
      </c>
      <c r="E87">
        <v>1</v>
      </c>
      <c r="F87">
        <v>1</v>
      </c>
      <c r="G87" t="s">
        <v>89</v>
      </c>
    </row>
    <row r="88" spans="1:7">
      <c r="A88" t="s">
        <v>255</v>
      </c>
      <c r="D88">
        <v>2026</v>
      </c>
      <c r="E88">
        <v>0</v>
      </c>
      <c r="G88" t="s">
        <v>90</v>
      </c>
    </row>
    <row r="89" spans="1:7">
      <c r="A89" t="s">
        <v>256</v>
      </c>
      <c r="D89">
        <v>2025</v>
      </c>
      <c r="E89">
        <v>0</v>
      </c>
      <c r="G89" t="s">
        <v>91</v>
      </c>
    </row>
    <row r="90" spans="1:7">
      <c r="A90" t="s">
        <v>257</v>
      </c>
      <c r="D90">
        <v>2025</v>
      </c>
      <c r="E90">
        <v>0</v>
      </c>
      <c r="G90" t="s">
        <v>92</v>
      </c>
    </row>
    <row r="91" spans="1:7">
      <c r="A91" t="s">
        <v>157</v>
      </c>
      <c r="B91" t="s">
        <v>118</v>
      </c>
      <c r="D91">
        <v>2023</v>
      </c>
      <c r="E91">
        <v>1</v>
      </c>
      <c r="F91">
        <v>1</v>
      </c>
      <c r="G91" t="s">
        <v>93</v>
      </c>
    </row>
    <row r="92" spans="1:7">
      <c r="A92" t="s">
        <v>158</v>
      </c>
      <c r="B92" t="s">
        <v>118</v>
      </c>
      <c r="D92">
        <v>2023</v>
      </c>
      <c r="E92">
        <v>1</v>
      </c>
      <c r="F92">
        <v>1</v>
      </c>
      <c r="G92" t="s">
        <v>94</v>
      </c>
    </row>
    <row r="93" spans="1:7">
      <c r="A93" t="s">
        <v>258</v>
      </c>
      <c r="D93">
        <v>2026</v>
      </c>
      <c r="E93">
        <v>0</v>
      </c>
      <c r="G93" t="s">
        <v>95</v>
      </c>
    </row>
    <row r="94" spans="1:7">
      <c r="A94" t="s">
        <v>159</v>
      </c>
      <c r="B94" t="s">
        <v>118</v>
      </c>
      <c r="D94">
        <v>2026</v>
      </c>
      <c r="E94">
        <v>1</v>
      </c>
      <c r="F94">
        <v>1</v>
      </c>
      <c r="G94" t="s">
        <v>96</v>
      </c>
    </row>
    <row r="95" spans="1:7">
      <c r="A95" t="s">
        <v>259</v>
      </c>
      <c r="D95">
        <v>2026</v>
      </c>
      <c r="E95">
        <v>0</v>
      </c>
      <c r="G95" t="s">
        <v>97</v>
      </c>
    </row>
    <row r="96" spans="1:7">
      <c r="A96" t="s">
        <v>190</v>
      </c>
      <c r="D96">
        <v>2025</v>
      </c>
      <c r="E96">
        <v>0</v>
      </c>
      <c r="G96" t="s">
        <v>98</v>
      </c>
    </row>
    <row r="97" spans="1:11">
      <c r="A97" t="s">
        <v>260</v>
      </c>
      <c r="D97">
        <v>2024</v>
      </c>
      <c r="E97">
        <v>0</v>
      </c>
      <c r="G97" t="s">
        <v>99</v>
      </c>
    </row>
    <row r="98" spans="1:11">
      <c r="A98" t="s">
        <v>175</v>
      </c>
      <c r="D98">
        <v>2024</v>
      </c>
      <c r="E98">
        <v>0</v>
      </c>
      <c r="G98" t="s">
        <v>100</v>
      </c>
    </row>
    <row r="99" spans="1:11">
      <c r="A99" t="s">
        <v>261</v>
      </c>
      <c r="D99">
        <v>2026</v>
      </c>
      <c r="E99">
        <v>0</v>
      </c>
      <c r="G99" t="s">
        <v>101</v>
      </c>
    </row>
    <row r="100" spans="1:11">
      <c r="A100" t="s">
        <v>262</v>
      </c>
      <c r="D100">
        <v>2026</v>
      </c>
      <c r="E100">
        <v>0</v>
      </c>
      <c r="G100" t="s">
        <v>102</v>
      </c>
      <c r="I100" t="s">
        <v>103</v>
      </c>
      <c r="K100" t="s">
        <v>104</v>
      </c>
    </row>
    <row r="101" spans="1:11">
      <c r="A101" t="s">
        <v>174</v>
      </c>
      <c r="D101">
        <v>2025</v>
      </c>
      <c r="E101">
        <v>0</v>
      </c>
      <c r="G101" t="s">
        <v>105</v>
      </c>
    </row>
    <row r="102" spans="1:11">
      <c r="A102" t="s">
        <v>263</v>
      </c>
      <c r="D102">
        <v>2025</v>
      </c>
      <c r="E102">
        <v>0</v>
      </c>
      <c r="G102" t="s">
        <v>106</v>
      </c>
    </row>
    <row r="103" spans="1:11">
      <c r="A103" t="s">
        <v>264</v>
      </c>
      <c r="D103">
        <v>2025</v>
      </c>
      <c r="E103">
        <v>0</v>
      </c>
      <c r="G103" t="s">
        <v>107</v>
      </c>
    </row>
    <row r="104" spans="1:11">
      <c r="A104" t="s">
        <v>183</v>
      </c>
      <c r="D104">
        <v>2025</v>
      </c>
      <c r="E104">
        <v>0</v>
      </c>
      <c r="G104" t="s">
        <v>108</v>
      </c>
    </row>
    <row r="105" spans="1:11">
      <c r="A105" t="s">
        <v>265</v>
      </c>
      <c r="D105">
        <v>2024</v>
      </c>
      <c r="E105">
        <v>0</v>
      </c>
      <c r="G105" t="s">
        <v>109</v>
      </c>
    </row>
    <row r="106" spans="1:11">
      <c r="A106" t="s">
        <v>160</v>
      </c>
      <c r="D106">
        <v>2026</v>
      </c>
      <c r="E106">
        <v>1</v>
      </c>
      <c r="F106">
        <v>0</v>
      </c>
      <c r="G106" t="s">
        <v>110</v>
      </c>
    </row>
    <row r="107" spans="1:11">
      <c r="A107" t="s">
        <v>161</v>
      </c>
      <c r="D107">
        <v>2025</v>
      </c>
      <c r="E107">
        <v>1</v>
      </c>
      <c r="F107">
        <v>0</v>
      </c>
      <c r="G107" t="s">
        <v>111</v>
      </c>
    </row>
    <row r="108" spans="1:11">
      <c r="A108" t="s">
        <v>266</v>
      </c>
      <c r="D108">
        <v>2022</v>
      </c>
      <c r="E108">
        <v>0</v>
      </c>
      <c r="G108" t="s">
        <v>112</v>
      </c>
    </row>
    <row r="109" spans="1:11">
      <c r="A109" t="s">
        <v>267</v>
      </c>
      <c r="D109">
        <v>2021</v>
      </c>
      <c r="E109">
        <v>0</v>
      </c>
      <c r="G109" t="s">
        <v>113</v>
      </c>
    </row>
    <row r="110" spans="1:11">
      <c r="A110" t="s">
        <v>268</v>
      </c>
      <c r="D110">
        <v>2025</v>
      </c>
      <c r="E110">
        <v>0</v>
      </c>
      <c r="G110" t="s">
        <v>114</v>
      </c>
    </row>
    <row r="111" spans="1:11">
      <c r="A111" t="s">
        <v>269</v>
      </c>
      <c r="D111">
        <v>2025</v>
      </c>
      <c r="E111">
        <v>0</v>
      </c>
      <c r="G111" t="s">
        <v>115</v>
      </c>
    </row>
    <row r="112" spans="1:11">
      <c r="A112">
        <f>COUNTA(A2:A111)</f>
        <v>110</v>
      </c>
      <c r="E112">
        <f>SUM(E2:E111)</f>
        <v>42</v>
      </c>
      <c r="F112">
        <f>SUM(F2:F107)</f>
        <v>24</v>
      </c>
    </row>
    <row r="114" spans="1:1">
      <c r="A114" t="s">
        <v>162</v>
      </c>
    </row>
  </sheetData>
  <autoFilter ref="F1:F114" xr:uid="{60D64FF6-E3CA-42D3-9982-16DFBF8C8263}"/>
  <conditionalFormatting sqref="E2:F111">
    <cfRule type="cellIs" dxfId="7" priority="1" operator="equal">
      <formula>1</formula>
    </cfRule>
    <cfRule type="cellIs" dxfId="6" priority="2" operator="equal">
      <formula>0</formula>
    </cfRule>
  </conditionalFormatting>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C99D-370C-4143-8A00-1A28BC2882C7}">
  <dimension ref="A1:F32"/>
  <sheetViews>
    <sheetView topLeftCell="A10" zoomScale="50" zoomScaleNormal="115" workbookViewId="0">
      <selection activeCell="E13" sqref="E13"/>
    </sheetView>
  </sheetViews>
  <sheetFormatPr baseColWidth="10" defaultRowHeight="13.5"/>
  <cols>
    <col min="1" max="1" width="110" customWidth="1"/>
    <col min="2" max="2" width="30.3125" customWidth="1"/>
    <col min="4" max="4" width="29.125" customWidth="1"/>
    <col min="5" max="5" width="17.6875" customWidth="1"/>
    <col min="6" max="6" width="114.1875" customWidth="1"/>
  </cols>
  <sheetData>
    <row r="1" spans="1:6" ht="13.9">
      <c r="A1" s="2" t="s">
        <v>121</v>
      </c>
      <c r="B1" s="2" t="s">
        <v>124</v>
      </c>
      <c r="C1" s="2" t="s">
        <v>1</v>
      </c>
      <c r="D1" s="2" t="s">
        <v>119</v>
      </c>
      <c r="E1" s="2" t="s">
        <v>120</v>
      </c>
      <c r="F1" s="2" t="s">
        <v>2</v>
      </c>
    </row>
    <row r="2" spans="1:6" ht="162">
      <c r="A2" s="1" t="s">
        <v>271</v>
      </c>
      <c r="B2" s="1" t="s">
        <v>125</v>
      </c>
      <c r="C2">
        <v>2023</v>
      </c>
      <c r="D2">
        <v>0</v>
      </c>
      <c r="F2" s="1" t="s">
        <v>122</v>
      </c>
    </row>
    <row r="3" spans="1:6" ht="256.5">
      <c r="A3" s="1" t="s">
        <v>278</v>
      </c>
      <c r="B3" s="1" t="s">
        <v>126</v>
      </c>
      <c r="C3">
        <v>2026</v>
      </c>
      <c r="D3">
        <v>1</v>
      </c>
      <c r="E3">
        <v>0</v>
      </c>
      <c r="F3" s="1" t="s">
        <v>123</v>
      </c>
    </row>
    <row r="4" spans="1:6" ht="378">
      <c r="A4" s="1" t="s">
        <v>262</v>
      </c>
      <c r="B4" t="s">
        <v>127</v>
      </c>
      <c r="C4">
        <v>2026</v>
      </c>
      <c r="D4" t="s">
        <v>148</v>
      </c>
      <c r="F4" s="1" t="s">
        <v>128</v>
      </c>
    </row>
    <row r="5" spans="1:6" ht="391.5">
      <c r="A5" s="1" t="s">
        <v>275</v>
      </c>
      <c r="B5" t="s">
        <v>129</v>
      </c>
      <c r="C5">
        <v>2026</v>
      </c>
      <c r="D5">
        <v>0</v>
      </c>
      <c r="F5" s="1" t="s">
        <v>130</v>
      </c>
    </row>
    <row r="6" spans="1:6" ht="229.5">
      <c r="A6" s="1" t="s">
        <v>277</v>
      </c>
      <c r="B6" t="s">
        <v>131</v>
      </c>
      <c r="C6">
        <v>2026</v>
      </c>
      <c r="D6">
        <v>0</v>
      </c>
      <c r="F6" s="1" t="s">
        <v>132</v>
      </c>
    </row>
    <row r="7" spans="1:6" ht="175.5">
      <c r="A7" s="1" t="s">
        <v>276</v>
      </c>
      <c r="B7" t="s">
        <v>133</v>
      </c>
      <c r="C7">
        <v>2026</v>
      </c>
      <c r="D7">
        <v>0</v>
      </c>
      <c r="F7" s="1" t="s">
        <v>134</v>
      </c>
    </row>
    <row r="8" spans="1:6" ht="310.5">
      <c r="A8" s="1" t="s">
        <v>208</v>
      </c>
      <c r="B8" t="s">
        <v>135</v>
      </c>
      <c r="C8">
        <v>2024</v>
      </c>
      <c r="D8" t="s">
        <v>148</v>
      </c>
      <c r="F8" s="1" t="s">
        <v>136</v>
      </c>
    </row>
    <row r="9" spans="1:6" ht="409.5">
      <c r="A9" s="1" t="s">
        <v>274</v>
      </c>
      <c r="B9" s="1" t="s">
        <v>137</v>
      </c>
      <c r="C9">
        <v>2025</v>
      </c>
      <c r="D9">
        <v>1</v>
      </c>
      <c r="E9">
        <v>0</v>
      </c>
      <c r="F9" s="1" t="s">
        <v>138</v>
      </c>
    </row>
    <row r="10" spans="1:6" ht="283.5">
      <c r="A10" s="1" t="s">
        <v>200</v>
      </c>
      <c r="B10" s="1" t="s">
        <v>139</v>
      </c>
      <c r="C10">
        <v>2026</v>
      </c>
      <c r="D10" t="s">
        <v>148</v>
      </c>
      <c r="F10" s="1" t="s">
        <v>140</v>
      </c>
    </row>
    <row r="11" spans="1:6" ht="297">
      <c r="A11" t="s">
        <v>210</v>
      </c>
      <c r="B11" t="s">
        <v>141</v>
      </c>
      <c r="C11">
        <v>2023</v>
      </c>
      <c r="D11" t="s">
        <v>148</v>
      </c>
      <c r="F11" s="1" t="s">
        <v>142</v>
      </c>
    </row>
    <row r="12" spans="1:6" ht="310.5">
      <c r="A12" s="1" t="s">
        <v>272</v>
      </c>
      <c r="B12" t="s">
        <v>143</v>
      </c>
      <c r="C12">
        <v>2021</v>
      </c>
      <c r="D12" t="s">
        <v>148</v>
      </c>
      <c r="F12" s="1" t="s">
        <v>144</v>
      </c>
    </row>
    <row r="13" spans="1:6">
      <c r="A13">
        <f>COUNTA(A2:A12)</f>
        <v>11</v>
      </c>
      <c r="D13">
        <f>SUM(D2:D12)</f>
        <v>2</v>
      </c>
    </row>
    <row r="14" spans="1:6" ht="14.25" thickBot="1">
      <c r="A14" s="8" t="s">
        <v>279</v>
      </c>
      <c r="B14" s="2"/>
    </row>
    <row r="15" spans="1:6">
      <c r="A15" s="4" t="str">
        <f>IFERROR(_xlfn.XLOOKUP(A2,SCOPUS!$A$2:$A$111,SCOPUS!$A$2:$A$111),"")</f>
        <v/>
      </c>
    </row>
    <row r="16" spans="1:6">
      <c r="A16" s="5" t="str">
        <f>IFERROR(_xlfn.XLOOKUP(A3,SCOPUS!$A$2:$A$111,SCOPUS!$A$2:$A$111),"")</f>
        <v/>
      </c>
    </row>
    <row r="17" spans="1:1">
      <c r="A17" s="5" t="str">
        <f>IFERROR(_xlfn.XLOOKUP(A4,SCOPUS!$A$2:$A$111,SCOPUS!$A$2:$A$111),"")</f>
        <v>Cyber security risk assessment techniques &amp; tools for small &amp; medium enterprises (SMEs)</v>
      </c>
    </row>
    <row r="18" spans="1:1">
      <c r="A18" s="5" t="str">
        <f>IFERROR(_xlfn.XLOOKUP(A5,SCOPUS!$A$2:$A$111,SCOPUS!$A$2:$A$111),"")</f>
        <v/>
      </c>
    </row>
    <row r="19" spans="1:1">
      <c r="A19" s="5" t="str">
        <f>IFERROR(_xlfn.XLOOKUP(A6,SCOPUS!$A$2:$A$111,SCOPUS!$A$2:$A$111),"")</f>
        <v/>
      </c>
    </row>
    <row r="20" spans="1:1">
      <c r="A20" s="5" t="str">
        <f>IFERROR(_xlfn.XLOOKUP(A7,SCOPUS!$A$2:$A$111,SCOPUS!$A$2:$A$111),"")</f>
        <v/>
      </c>
    </row>
    <row r="21" spans="1:1">
      <c r="A21" s="5" t="str">
        <f>IFERROR(_xlfn.XLOOKUP(A8,SCOPUS!$A$2:$A$111,SCOPUS!$A$2:$A$111),"")</f>
        <v>Digital Twin in SMEs: Implementing Advanced Digital Technologies for Engineering Advancements</v>
      </c>
    </row>
    <row r="22" spans="1:1">
      <c r="A22" s="5" t="str">
        <f>IFERROR(_xlfn.XLOOKUP(A9,SCOPUS!$A$2:$A$111,SCOPUS!$A$2:$A$111),"")</f>
        <v/>
      </c>
    </row>
    <row r="23" spans="1:1">
      <c r="A23" s="5" t="str">
        <f>IFERROR(_xlfn.XLOOKUP(A10,SCOPUS!$A$2:$A$111,SCOPUS!$A$2:$A$111),"")</f>
        <v>Self-X-based secure human-cyber-physical system (SSHCPS) for autonomous manufacturing in the era of industry 5.0</v>
      </c>
    </row>
    <row r="24" spans="1:1">
      <c r="A24" s="5" t="str">
        <f>IFERROR(_xlfn.XLOOKUP(A11,SCOPUS!$A$2:$A$111,SCOPUS!$A$2:$A$111),"")</f>
        <v>Enhancing Cyber-Resilience for Small and Medium-Sized Organizations with Prescriptive Malware Analysis, Detection and Response</v>
      </c>
    </row>
    <row r="25" spans="1:1" ht="13.9" thickBot="1">
      <c r="A25" s="6" t="str">
        <f>IFERROR(_xlfn.XLOOKUP(A12,SCOPUS!$A$2:$A$111,SCOPUS!$A$2:$A$111),"")</f>
        <v>Cost benefits of using machine learning features in NIDS for cyber security in UK small medium enterprises (SME)</v>
      </c>
    </row>
    <row r="26" spans="1:1">
      <c r="A26" t="str">
        <f>IFERROR(_xlfn.XLOOKUP(A14,SCOPUS!$A$2:$A$111,SCOPUS!$A$2:$A$111),"")</f>
        <v/>
      </c>
    </row>
    <row r="27" spans="1:1">
      <c r="A27" t="str">
        <f>IFERROR(_xlfn.XLOOKUP(A15,SCOPUS!$A$2:$A$111,SCOPUS!$A$2:$A$111),"")</f>
        <v/>
      </c>
    </row>
    <row r="28" spans="1:1">
      <c r="A28" t="str">
        <f>IFERROR(_xlfn.XLOOKUP(A16,SCOPUS!$A$2:$A$111,SCOPUS!$A$2:$A$111),"")</f>
        <v/>
      </c>
    </row>
    <row r="29" spans="1:1">
      <c r="A29" t="str">
        <f>IFERROR(_xlfn.XLOOKUP(A17,SCOPUS!$A$2:$A$111,SCOPUS!$A$2:$A$111),"")</f>
        <v>Cyber security risk assessment techniques &amp; tools for small &amp; medium enterprises (SMEs)</v>
      </c>
    </row>
    <row r="30" spans="1:1">
      <c r="A30" t="str">
        <f>IFERROR(_xlfn.XLOOKUP(A18,SCOPUS!$A$2:$A$111,SCOPUS!$A$2:$A$111),"")</f>
        <v/>
      </c>
    </row>
    <row r="31" spans="1:1">
      <c r="A31" t="str">
        <f>IFERROR(_xlfn.XLOOKUP(A19,SCOPUS!$A$2:$A$111,SCOPUS!$A$2:$A$111),"")</f>
        <v/>
      </c>
    </row>
    <row r="32" spans="1:1">
      <c r="A32" t="str">
        <f>IFERROR(_xlfn.XLOOKUP(A20,SCOPUS!$A$2:$A$111,SCOPUS!$A$2:$A$111),"")</f>
        <v/>
      </c>
    </row>
  </sheetData>
  <conditionalFormatting sqref="D1:D1048576">
    <cfRule type="cellIs" dxfId="5" priority="3" operator="equal">
      <formula>1</formula>
    </cfRule>
  </conditionalFormatting>
  <conditionalFormatting sqref="D2:E12">
    <cfRule type="cellIs" dxfId="4" priority="1" operator="equal">
      <formula>0</formula>
    </cfRule>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AB71-32D1-46B6-A6E1-3329A76D4641}">
  <dimension ref="A1:D58"/>
  <sheetViews>
    <sheetView zoomScale="66" workbookViewId="0">
      <selection activeCell="D28" sqref="D28"/>
    </sheetView>
  </sheetViews>
  <sheetFormatPr baseColWidth="10" defaultRowHeight="13.5"/>
  <cols>
    <col min="1" max="1" width="135.4375" customWidth="1"/>
    <col min="3" max="3" width="23.875" customWidth="1"/>
    <col min="4" max="4" width="15.9375" customWidth="1"/>
  </cols>
  <sheetData>
    <row r="1" spans="1:4" ht="13.9">
      <c r="A1" s="2" t="s">
        <v>163</v>
      </c>
      <c r="B1" s="2" t="s">
        <v>117</v>
      </c>
      <c r="C1" s="2" t="s">
        <v>119</v>
      </c>
      <c r="D1" s="2" t="s">
        <v>165</v>
      </c>
    </row>
    <row r="2" spans="1:4">
      <c r="A2" t="s">
        <v>161</v>
      </c>
      <c r="B2" t="s">
        <v>169</v>
      </c>
      <c r="C2" t="s">
        <v>148</v>
      </c>
    </row>
    <row r="3" spans="1:4">
      <c r="A3" t="s">
        <v>174</v>
      </c>
      <c r="B3" t="s">
        <v>169</v>
      </c>
      <c r="C3" t="s">
        <v>148</v>
      </c>
    </row>
    <row r="4" spans="1:4">
      <c r="A4" t="s">
        <v>175</v>
      </c>
      <c r="B4" t="s">
        <v>169</v>
      </c>
      <c r="C4" t="s">
        <v>148</v>
      </c>
    </row>
    <row r="5" spans="1:4">
      <c r="A5" t="s">
        <v>176</v>
      </c>
      <c r="B5" t="s">
        <v>118</v>
      </c>
      <c r="C5">
        <v>1</v>
      </c>
      <c r="D5">
        <v>1</v>
      </c>
    </row>
    <row r="6" spans="1:4">
      <c r="A6" t="s">
        <v>157</v>
      </c>
      <c r="B6" t="s">
        <v>169</v>
      </c>
      <c r="C6" t="s">
        <v>148</v>
      </c>
    </row>
    <row r="7" spans="1:4">
      <c r="A7" t="s">
        <v>156</v>
      </c>
      <c r="B7" t="s">
        <v>169</v>
      </c>
      <c r="C7" t="s">
        <v>148</v>
      </c>
    </row>
    <row r="8" spans="1:4">
      <c r="A8" t="s">
        <v>177</v>
      </c>
      <c r="B8" t="s">
        <v>118</v>
      </c>
      <c r="C8">
        <v>1</v>
      </c>
      <c r="D8">
        <v>1</v>
      </c>
    </row>
    <row r="9" spans="1:4">
      <c r="A9" t="s">
        <v>202</v>
      </c>
      <c r="B9" t="s">
        <v>169</v>
      </c>
      <c r="C9" t="s">
        <v>148</v>
      </c>
    </row>
    <row r="10" spans="1:4">
      <c r="A10" t="s">
        <v>178</v>
      </c>
      <c r="B10" t="s">
        <v>169</v>
      </c>
      <c r="C10" t="s">
        <v>148</v>
      </c>
    </row>
    <row r="11" spans="1:4">
      <c r="A11" t="s">
        <v>179</v>
      </c>
      <c r="B11" t="s">
        <v>169</v>
      </c>
      <c r="C11" t="s">
        <v>148</v>
      </c>
    </row>
    <row r="12" spans="1:4">
      <c r="A12" t="s">
        <v>266</v>
      </c>
      <c r="B12" t="s">
        <v>169</v>
      </c>
      <c r="C12" t="s">
        <v>148</v>
      </c>
    </row>
    <row r="13" spans="1:4">
      <c r="A13" t="s">
        <v>180</v>
      </c>
      <c r="B13" t="s">
        <v>169</v>
      </c>
      <c r="C13" t="s">
        <v>148</v>
      </c>
    </row>
    <row r="14" spans="1:4">
      <c r="A14" t="s">
        <v>181</v>
      </c>
      <c r="B14" t="s">
        <v>169</v>
      </c>
      <c r="C14" t="s">
        <v>148</v>
      </c>
    </row>
    <row r="15" spans="1:4">
      <c r="A15" t="s">
        <v>182</v>
      </c>
      <c r="B15" t="s">
        <v>169</v>
      </c>
      <c r="C15">
        <v>0</v>
      </c>
    </row>
    <row r="16" spans="1:4">
      <c r="A16" t="s">
        <v>183</v>
      </c>
      <c r="B16" t="s">
        <v>169</v>
      </c>
      <c r="C16" t="s">
        <v>148</v>
      </c>
    </row>
    <row r="17" spans="1:3">
      <c r="A17" t="s">
        <v>184</v>
      </c>
      <c r="B17" t="s">
        <v>169</v>
      </c>
      <c r="C17" t="s">
        <v>148</v>
      </c>
    </row>
    <row r="18" spans="1:3">
      <c r="A18" t="s">
        <v>185</v>
      </c>
      <c r="B18" t="s">
        <v>169</v>
      </c>
      <c r="C18" t="s">
        <v>148</v>
      </c>
    </row>
    <row r="19" spans="1:3">
      <c r="A19" t="s">
        <v>155</v>
      </c>
      <c r="B19" t="s">
        <v>169</v>
      </c>
      <c r="C19" t="s">
        <v>148</v>
      </c>
    </row>
    <row r="20" spans="1:3">
      <c r="A20" t="s">
        <v>186</v>
      </c>
      <c r="B20" t="s">
        <v>169</v>
      </c>
      <c r="C20" t="s">
        <v>148</v>
      </c>
    </row>
    <row r="21" spans="1:3">
      <c r="A21" t="s">
        <v>187</v>
      </c>
      <c r="B21" t="s">
        <v>169</v>
      </c>
      <c r="C21" t="s">
        <v>148</v>
      </c>
    </row>
    <row r="22" spans="1:3">
      <c r="A22" t="s">
        <v>188</v>
      </c>
      <c r="B22" t="s">
        <v>169</v>
      </c>
      <c r="C22" t="s">
        <v>148</v>
      </c>
    </row>
    <row r="23" spans="1:3">
      <c r="A23" t="s">
        <v>147</v>
      </c>
      <c r="B23" t="s">
        <v>169</v>
      </c>
      <c r="C23" t="s">
        <v>148</v>
      </c>
    </row>
    <row r="24" spans="1:3">
      <c r="A24" t="s">
        <v>189</v>
      </c>
      <c r="B24" t="s">
        <v>169</v>
      </c>
      <c r="C24" t="s">
        <v>148</v>
      </c>
    </row>
    <row r="25" spans="1:3">
      <c r="A25" t="s">
        <v>190</v>
      </c>
      <c r="B25" t="s">
        <v>169</v>
      </c>
      <c r="C25" t="s">
        <v>148</v>
      </c>
    </row>
    <row r="26" spans="1:3">
      <c r="A26" t="s">
        <v>160</v>
      </c>
      <c r="B26" t="s">
        <v>169</v>
      </c>
      <c r="C26" t="s">
        <v>148</v>
      </c>
    </row>
    <row r="27" spans="1:3">
      <c r="A27" t="s">
        <v>191</v>
      </c>
      <c r="B27" t="s">
        <v>169</v>
      </c>
      <c r="C27">
        <v>0</v>
      </c>
    </row>
    <row r="28" spans="1:3">
      <c r="A28">
        <f>COUNTA(A2:A27)</f>
        <v>26</v>
      </c>
      <c r="C28">
        <f>SUM(C2:C27)</f>
        <v>2</v>
      </c>
    </row>
    <row r="29" spans="1:3" ht="14.25" thickBot="1">
      <c r="A29" s="2" t="s">
        <v>279</v>
      </c>
      <c r="C29" t="s">
        <v>273</v>
      </c>
    </row>
    <row r="30" spans="1:3">
      <c r="A30" s="4" t="str">
        <f>IFERROR(_xlfn.XLOOKUP(A2,SCOPUS!$A$2:$A$111,SCOPUS!$A$2:$A$111),"")</f>
        <v>Beyond the Hype: Readiness Assessment of SMEs for AI-Driven Cybersecurity Audits</v>
      </c>
      <c r="C30" t="s">
        <v>176</v>
      </c>
    </row>
    <row r="31" spans="1:3">
      <c r="A31" s="5" t="str">
        <f>IFERROR(_xlfn.XLOOKUP(A3,SCOPUS!$A$2:$A$111,SCOPUS!$A$2:$A$111),"")</f>
        <v>Fuzzy Petri-Net-Based Risk Assessment Model for AI Adoption in SME Auto-Component Clusters</v>
      </c>
      <c r="C31" t="s">
        <v>177</v>
      </c>
    </row>
    <row r="32" spans="1:3">
      <c r="A32" s="5" t="str">
        <f>IFERROR(_xlfn.XLOOKUP(A4,SCOPUS!$A$2:$A$111,SCOPUS!$A$2:$A$111),"")</f>
        <v>The Transformative Impact of Cloud Computing on Small and Medium-sized Enterprises (SMEs): A Comprehensive Analysis</v>
      </c>
      <c r="C32" t="s">
        <v>182</v>
      </c>
    </row>
    <row r="33" spans="1:3">
      <c r="A33" s="5" t="str">
        <f>IFERROR(_xlfn.XLOOKUP(A5,SCOPUS!$A$2:$A$111,SCOPUS!$A$2:$A$111),"")</f>
        <v/>
      </c>
      <c r="C33" t="s">
        <v>191</v>
      </c>
    </row>
    <row r="34" spans="1:3">
      <c r="A34" s="5" t="str">
        <f>IFERROR(_xlfn.XLOOKUP(A6,SCOPUS!$A$2:$A$111,SCOPUS!$A$2:$A$111),"")</f>
        <v>ML-Based Security Analytics in South African SMEs: A Review and Classification</v>
      </c>
    </row>
    <row r="35" spans="1:3">
      <c r="A35" s="5" t="str">
        <f>IFERROR(_xlfn.XLOOKUP(A7,SCOPUS!$A$2:$A$111,SCOPUS!$A$2:$A$111),"")</f>
        <v>Data Exfiltration Detection System using Machine Learning</v>
      </c>
    </row>
    <row r="36" spans="1:3">
      <c r="A36" s="5" t="str">
        <f>IFERROR(_xlfn.XLOOKUP(A8,SCOPUS!$A$2:$A$111,SCOPUS!$A$2:$A$111),"")</f>
        <v/>
      </c>
    </row>
    <row r="37" spans="1:3">
      <c r="A37" s="5" t="str">
        <f>IFERROR(_xlfn.XLOOKUP(A9,SCOPUS!$A$2:$A$111,SCOPUS!$A$2:$A$111),"")</f>
        <v>Designing, Simulating &amp; Implementing a Zero Trust Network Architecture (ZTNA)</v>
      </c>
    </row>
    <row r="38" spans="1:3">
      <c r="A38" s="5" t="str">
        <f>IFERROR(_xlfn.XLOOKUP(A10,SCOPUS!$A$2:$A$111,SCOPUS!$A$2:$A$111),"")</f>
        <v>A Review on Cyber Resilience Model in Small and Medium Enterprises</v>
      </c>
    </row>
    <row r="39" spans="1:3">
      <c r="A39" s="5" t="str">
        <f>IFERROR(_xlfn.XLOOKUP(A11,SCOPUS!$A$2:$A$111,SCOPUS!$A$2:$A$111),"")</f>
        <v>PACY: ProActive Cybersecurity for Small and Medium Enterprises</v>
      </c>
    </row>
    <row r="40" spans="1:3">
      <c r="A40" s="5" t="str">
        <f>IFERROR(_xlfn.XLOOKUP(A12,SCOPUS!$A$2:$A$111,SCOPUS!$A$2:$A$111),"")</f>
        <v>SENTINEL - Approachable, tailor-made cybersecurity and data protection for small enterprises</v>
      </c>
    </row>
    <row r="41" spans="1:3">
      <c r="A41" s="5" t="str">
        <f>IFERROR(_xlfn.XLOOKUP(A13,SCOPUS!$A$2:$A$111,SCOPUS!$A$2:$A$111),"")</f>
        <v>Benchmarking and Evaluating Large Language Models in Phishing Detection for Small and Midsize Enterprises: A Comprehensive Analysis</v>
      </c>
    </row>
    <row r="42" spans="1:3">
      <c r="A42" s="5" t="str">
        <f>IFERROR(_xlfn.XLOOKUP(A14,SCOPUS!$A$2:$A$111,SCOPUS!$A$2:$A$111),"")</f>
        <v>Automated Threat Emulation Framework with LLMs for Cyber Physical Systems</v>
      </c>
    </row>
    <row r="43" spans="1:3">
      <c r="A43" s="5" t="str">
        <f>IFERROR(_xlfn.XLOOKUP(A15,SCOPUS!$A$2:$A$111,SCOPUS!$A$2:$A$111),"")</f>
        <v/>
      </c>
    </row>
    <row r="44" spans="1:3">
      <c r="A44" s="5" t="str">
        <f>IFERROR(_xlfn.XLOOKUP(A16,SCOPUS!$A$2:$A$111,SCOPUS!$A$2:$A$111),"")</f>
        <v>Industry 4.0 Empowered by Interoperability: Vertical Integration of Electrical and Fire Safety Systems Using IEC Standards in a SCADA Environment</v>
      </c>
    </row>
    <row r="45" spans="1:3">
      <c r="A45" s="5" t="str">
        <f>IFERROR(_xlfn.XLOOKUP(A17,SCOPUS!$A$2:$A$111,SCOPUS!$A$2:$A$111),"")</f>
        <v>AI Driven Digital Twins for Predictive Maintenance in Smart Factories</v>
      </c>
    </row>
    <row r="46" spans="1:3">
      <c r="A46" s="5" t="str">
        <f>IFERROR(_xlfn.XLOOKUP(A18,SCOPUS!$A$2:$A$111,SCOPUS!$A$2:$A$111),"")</f>
        <v>Power Resilience Planning under the Threat of Artificial Intelligence</v>
      </c>
    </row>
    <row r="47" spans="1:3">
      <c r="A47" s="5" t="str">
        <f>IFERROR(_xlfn.XLOOKUP(A19,SCOPUS!$A$2:$A$111,SCOPUS!$A$2:$A$111),"")</f>
        <v>A Cost-Effective Security Framework to protect micro enterprises: PALANTIR e-commerce use case</v>
      </c>
    </row>
    <row r="48" spans="1:3">
      <c r="A48" s="5" t="str">
        <f>IFERROR(_xlfn.XLOOKUP(A20,SCOPUS!$A$2:$A$111,SCOPUS!$A$2:$A$111),"")</f>
        <v>Optimizing MSME Performance through Marketing Capabilities and Digital Marketing Adoption</v>
      </c>
    </row>
    <row r="49" spans="1:1">
      <c r="A49" s="5" t="str">
        <f>IFERROR(_xlfn.XLOOKUP(A21,SCOPUS!$A$2:$A$111,SCOPUS!$A$2:$A$111),"")</f>
        <v>Machine Learning Applications and the use of Big Data to Manage the Operation of SMEs</v>
      </c>
    </row>
    <row r="50" spans="1:1">
      <c r="A50" s="5" t="str">
        <f>IFERROR(_xlfn.XLOOKUP(A22,SCOPUS!$A$2:$A$111,SCOPUS!$A$2:$A$111),"")</f>
        <v>LI-NIDS: LLM-based Intelligent NIDS Rules Generation for Cybersecurity Applications</v>
      </c>
    </row>
    <row r="51" spans="1:1">
      <c r="A51" s="5" t="str">
        <f>IFERROR(_xlfn.XLOOKUP(A23,SCOPUS!$A$2:$A$111,SCOPUS!$A$2:$A$111),"")</f>
        <v>Intrusion Detection System using Autoencoder based Deep Neural Network for SME Cybersecurity</v>
      </c>
    </row>
    <row r="52" spans="1:1">
      <c r="A52" s="5" t="str">
        <f>IFERROR(_xlfn.XLOOKUP(A24,SCOPUS!$A$2:$A$111,SCOPUS!$A$2:$A$111),"")</f>
        <v>Neurosymbolic AI for Mining Public Opinions on Generative AI's Role in Firm Efficiency</v>
      </c>
    </row>
    <row r="53" spans="1:1">
      <c r="A53" s="5" t="str">
        <f>IFERROR(_xlfn.XLOOKUP(A25,SCOPUS!$A$2:$A$111,SCOPUS!$A$2:$A$111),"")</f>
        <v>Research on Network Intrusion Detection Technology Based on Machine Learning</v>
      </c>
    </row>
    <row r="54" spans="1:1">
      <c r="A54" s="5" t="str">
        <f>IFERROR(_xlfn.XLOOKUP(A26,SCOPUS!$A$2:$A$111,SCOPUS!$A$2:$A$111),"")</f>
        <v>Automating Cyber Risk Assessment With Public LLMs: An Expert-Validated Framework and Comparative Analysis</v>
      </c>
    </row>
    <row r="55" spans="1:1" ht="13.9" thickBot="1">
      <c r="A55" s="6" t="str">
        <f>IFERROR(_xlfn.XLOOKUP(A27,SCOPUS!$A$2:$A$111,SCOPUS!$A$2:$A$111),"")</f>
        <v/>
      </c>
    </row>
    <row r="56" spans="1:1">
      <c r="A56" s="3"/>
    </row>
    <row r="57" spans="1:1">
      <c r="A57" s="7" t="s">
        <v>270</v>
      </c>
    </row>
    <row r="58" spans="1:1">
      <c r="A58" s="3" t="str">
        <f>IFERROR(_xlfn.XLOOKUP(A2,EBSCOHOST!$A$2:$A$20,SCOPUS!$A$2:$A$20),"")</f>
        <v/>
      </c>
    </row>
  </sheetData>
  <conditionalFormatting sqref="C2:D27">
    <cfRule type="cellIs" dxfId="3" priority="1" operator="equal">
      <formula>1</formula>
    </cfRule>
    <cfRule type="cellIs" dxfId="2" priority="2" operator="equal">
      <formula>0</formula>
    </cfRule>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C6822-C78A-4E82-9678-46CABC91A04D}">
  <dimension ref="A1:D7"/>
  <sheetViews>
    <sheetView workbookViewId="0">
      <selection activeCell="A5" sqref="A5"/>
    </sheetView>
  </sheetViews>
  <sheetFormatPr baseColWidth="10" defaultRowHeight="13.5"/>
  <cols>
    <col min="1" max="1" width="52.8125" customWidth="1"/>
    <col min="3" max="3" width="23.625" bestFit="1" customWidth="1"/>
  </cols>
  <sheetData>
    <row r="1" spans="1:4" ht="13.9">
      <c r="A1" s="2" t="s">
        <v>163</v>
      </c>
      <c r="B1" s="2" t="s">
        <v>117</v>
      </c>
      <c r="C1" s="2" t="s">
        <v>172</v>
      </c>
      <c r="D1" s="2" t="s">
        <v>165</v>
      </c>
    </row>
    <row r="2" spans="1:4">
      <c r="A2" t="s">
        <v>170</v>
      </c>
      <c r="B2" t="s">
        <v>169</v>
      </c>
      <c r="C2" t="s">
        <v>148</v>
      </c>
    </row>
    <row r="3" spans="1:4">
      <c r="A3" t="s">
        <v>171</v>
      </c>
      <c r="B3" t="s">
        <v>169</v>
      </c>
      <c r="C3" t="s">
        <v>148</v>
      </c>
    </row>
    <row r="4" spans="1:4">
      <c r="A4">
        <f>COUNTA(A2:A3)</f>
        <v>2</v>
      </c>
    </row>
    <row r="5" spans="1:4" ht="14.25" thickBot="1">
      <c r="A5" s="2" t="s">
        <v>279</v>
      </c>
    </row>
    <row r="6" spans="1:4">
      <c r="A6" s="4" t="str">
        <f>IFERROR(_xlfn.XLOOKUP(A2,SCOPUS!$A$13:$A$122,SCOPUS!$A$13:$A$122),"")</f>
        <v>Teaching GenAI Readiness: Secure AI Adoption for Small Businesses</v>
      </c>
    </row>
    <row r="7" spans="1:4" ht="13.9" thickBot="1">
      <c r="A7" s="6" t="str">
        <f>IFERROR(_xlfn.XLOOKUP(A3,SCOPUS!$A$2:$A$111,SCOPUS!$A$2:$A$111),"")</f>
        <v>A Flexible Security Analytics Service for the Industrial IoT</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47605-6537-43AF-8EBB-E8A9CE786348}">
  <dimension ref="A1:D9"/>
  <sheetViews>
    <sheetView workbookViewId="0">
      <selection activeCell="A6" sqref="A6"/>
    </sheetView>
  </sheetViews>
  <sheetFormatPr baseColWidth="10" defaultRowHeight="13.5"/>
  <cols>
    <col min="1" max="1" width="93.0625" customWidth="1"/>
    <col min="3" max="3" width="24.5625" customWidth="1"/>
    <col min="4" max="4" width="17.9375" customWidth="1"/>
  </cols>
  <sheetData>
    <row r="1" spans="1:4" ht="13.9">
      <c r="A1" s="2" t="s">
        <v>163</v>
      </c>
      <c r="B1" s="2" t="s">
        <v>117</v>
      </c>
      <c r="C1" s="2" t="s">
        <v>164</v>
      </c>
      <c r="D1" s="2" t="s">
        <v>165</v>
      </c>
    </row>
    <row r="2" spans="1:4" ht="61.15" customHeight="1">
      <c r="A2" s="1" t="s">
        <v>166</v>
      </c>
      <c r="B2" t="s">
        <v>118</v>
      </c>
      <c r="C2">
        <v>1</v>
      </c>
      <c r="D2">
        <v>1</v>
      </c>
    </row>
    <row r="3" spans="1:4">
      <c r="A3" s="1" t="s">
        <v>167</v>
      </c>
      <c r="B3" t="s">
        <v>169</v>
      </c>
      <c r="C3">
        <v>0</v>
      </c>
    </row>
    <row r="4" spans="1:4">
      <c r="A4" s="1" t="s">
        <v>168</v>
      </c>
      <c r="B4" t="s">
        <v>169</v>
      </c>
      <c r="C4">
        <v>0</v>
      </c>
    </row>
    <row r="5" spans="1:4">
      <c r="A5">
        <f>COUNTA(A2:A4)</f>
        <v>3</v>
      </c>
    </row>
    <row r="9" spans="1:4">
      <c r="A9" t="s">
        <v>173</v>
      </c>
    </row>
  </sheetData>
  <conditionalFormatting sqref="C2:D4">
    <cfRule type="cellIs" dxfId="1" priority="1" operator="equal">
      <formula>0</formula>
    </cfRule>
    <cfRule type="cellIs" dxfId="0" priority="2" operator="equal">
      <formula>1</formula>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9F1C6-7D6B-46B8-9D18-55716BE7A345}">
  <dimension ref="A1:C5"/>
  <sheetViews>
    <sheetView workbookViewId="0">
      <selection activeCell="E17" sqref="E17"/>
    </sheetView>
  </sheetViews>
  <sheetFormatPr baseColWidth="10" defaultRowHeight="13.5"/>
  <cols>
    <col min="1" max="1" width="58.1875" customWidth="1"/>
  </cols>
  <sheetData>
    <row r="1" spans="1:3" ht="13.9">
      <c r="A1" s="2" t="s">
        <v>163</v>
      </c>
      <c r="B1" s="2" t="s">
        <v>288</v>
      </c>
      <c r="C1" s="2" t="s">
        <v>289</v>
      </c>
    </row>
    <row r="2" spans="1:3">
      <c r="A2" t="s">
        <v>280</v>
      </c>
      <c r="B2" t="s">
        <v>281</v>
      </c>
      <c r="C2">
        <v>2024</v>
      </c>
    </row>
    <row r="3" spans="1:3">
      <c r="A3" t="s">
        <v>282</v>
      </c>
      <c r="B3" t="s">
        <v>283</v>
      </c>
      <c r="C3">
        <v>2019</v>
      </c>
    </row>
    <row r="4" spans="1:3">
      <c r="A4" t="s">
        <v>284</v>
      </c>
      <c r="B4" t="s">
        <v>285</v>
      </c>
      <c r="C4">
        <v>2020</v>
      </c>
    </row>
    <row r="5" spans="1:3">
      <c r="A5" t="s">
        <v>286</v>
      </c>
      <c r="B5" t="s">
        <v>287</v>
      </c>
      <c r="C5">
        <v>2023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SCOPUS</vt:lpstr>
      <vt:lpstr>EBSCOHOST</vt:lpstr>
      <vt:lpstr>IEEE Xplore</vt:lpstr>
      <vt:lpstr>ACM</vt:lpstr>
      <vt:lpstr>AISeL</vt:lpstr>
      <vt:lpstr>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 Mavromatis</cp:lastModifiedBy>
  <dcterms:created xsi:type="dcterms:W3CDTF">2026-05-12T18:54:36Z</dcterms:created>
  <dcterms:modified xsi:type="dcterms:W3CDTF">2026-06-21T11:22:23Z</dcterms:modified>
</cp:coreProperties>
</file>